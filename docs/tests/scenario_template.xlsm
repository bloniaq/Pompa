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E:\# Programowanie\Pompa\docs\"/>
    </mc:Choice>
  </mc:AlternateContent>
  <xr:revisionPtr revIDLastSave="0" documentId="13_ncr:1_{F4AD653B-5AFE-43EA-B807-D5BBFBA7012F}" xr6:coauthVersionLast="46" xr6:coauthVersionMax="46" xr10:uidLastSave="{00000000-0000-0000-0000-000000000000}"/>
  <bookViews>
    <workbookView xWindow="-120" yWindow="-120" windowWidth="29040" windowHeight="15840" xr2:uid="{5F5C5E87-60CE-4FB1-A69B-69A68FF89EEB}"/>
  </bookViews>
  <sheets>
    <sheet name="Arkusz1" sheetId="1" r:id="rId1"/>
  </sheets>
  <calcPr calcId="181029" iterate="1" iterateCount="32767" iterateDelta="9.9999999999999994E-12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83" i="1" l="1"/>
  <c r="O83" i="1"/>
  <c r="P83" i="1"/>
  <c r="Q83" i="1"/>
  <c r="R83" i="1"/>
  <c r="S83" i="1"/>
  <c r="T83" i="1"/>
  <c r="U83" i="1"/>
  <c r="V83" i="1"/>
  <c r="W83" i="1"/>
  <c r="X83" i="1"/>
  <c r="N83" i="1"/>
  <c r="M83" i="1"/>
  <c r="L83" i="1"/>
  <c r="G15" i="1"/>
  <c r="E21" i="1"/>
  <c r="G21" i="1" s="1"/>
  <c r="E24" i="1"/>
  <c r="E25" i="1" s="1"/>
  <c r="G31" i="1"/>
  <c r="M55" i="1" s="1"/>
  <c r="E33" i="1"/>
  <c r="G39" i="1"/>
  <c r="Q56" i="1" s="1"/>
  <c r="R56" i="1" s="1"/>
  <c r="E41" i="1"/>
  <c r="E68" i="1"/>
  <c r="Y80" i="1" s="1"/>
  <c r="F68" i="1"/>
  <c r="G68" i="1"/>
  <c r="H68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53" i="1"/>
  <c r="M65" i="1" l="1"/>
  <c r="N65" i="1" s="1"/>
  <c r="M63" i="1"/>
  <c r="M62" i="1"/>
  <c r="M54" i="1"/>
  <c r="N54" i="1" s="1"/>
  <c r="M66" i="1"/>
  <c r="N66" i="1" s="1"/>
  <c r="L80" i="1"/>
  <c r="X80" i="1"/>
  <c r="R80" i="1"/>
  <c r="M80" i="1"/>
  <c r="Q80" i="1"/>
  <c r="P80" i="1"/>
  <c r="U80" i="1"/>
  <c r="O80" i="1"/>
  <c r="T80" i="1"/>
  <c r="N80" i="1"/>
  <c r="S80" i="1"/>
  <c r="W80" i="1"/>
  <c r="V80" i="1"/>
  <c r="Q64" i="1"/>
  <c r="R64" i="1" s="1"/>
  <c r="K80" i="1"/>
  <c r="N63" i="1"/>
  <c r="Q63" i="1"/>
  <c r="R63" i="1" s="1"/>
  <c r="N62" i="1"/>
  <c r="Q62" i="1"/>
  <c r="R62" i="1" s="1"/>
  <c r="M61" i="1"/>
  <c r="N61" i="1" s="1"/>
  <c r="Q61" i="1"/>
  <c r="R61" i="1" s="1"/>
  <c r="M60" i="1"/>
  <c r="N60" i="1" s="1"/>
  <c r="Q60" i="1"/>
  <c r="R60" i="1" s="1"/>
  <c r="M59" i="1"/>
  <c r="N59" i="1" s="1"/>
  <c r="E42" i="1"/>
  <c r="E44" i="1" s="1"/>
  <c r="E45" i="1" s="1"/>
  <c r="E72" i="1"/>
  <c r="E73" i="1" s="1"/>
  <c r="E74" i="1" s="1"/>
  <c r="E76" i="1" s="1"/>
  <c r="E34" i="1"/>
  <c r="E36" i="1" s="1"/>
  <c r="E37" i="1" s="1"/>
  <c r="Q54" i="1"/>
  <c r="R54" i="1" s="1"/>
  <c r="S54" i="1" s="1"/>
  <c r="Q55" i="1"/>
  <c r="R55" i="1" s="1"/>
  <c r="Q67" i="1"/>
  <c r="R67" i="1" s="1"/>
  <c r="N55" i="1"/>
  <c r="Q66" i="1"/>
  <c r="R66" i="1" s="1"/>
  <c r="Q65" i="1"/>
  <c r="R65" i="1" s="1"/>
  <c r="M64" i="1"/>
  <c r="N64" i="1" s="1"/>
  <c r="Q58" i="1"/>
  <c r="R58" i="1" s="1"/>
  <c r="M53" i="1"/>
  <c r="N53" i="1" s="1"/>
  <c r="M56" i="1"/>
  <c r="N56" i="1" s="1"/>
  <c r="S56" i="1" s="1"/>
  <c r="Q57" i="1"/>
  <c r="R57" i="1" s="1"/>
  <c r="M58" i="1"/>
  <c r="N58" i="1" s="1"/>
  <c r="Q59" i="1"/>
  <c r="R59" i="1" s="1"/>
  <c r="M57" i="1"/>
  <c r="N57" i="1" s="1"/>
  <c r="M67" i="1"/>
  <c r="N67" i="1" s="1"/>
  <c r="Q53" i="1"/>
  <c r="R53" i="1" s="1"/>
  <c r="S62" i="1" l="1"/>
  <c r="S67" i="1"/>
  <c r="S65" i="1"/>
  <c r="S53" i="1"/>
  <c r="S64" i="1"/>
  <c r="S61" i="1"/>
  <c r="S63" i="1"/>
  <c r="S60" i="1"/>
  <c r="S66" i="1"/>
  <c r="S55" i="1"/>
  <c r="E46" i="1"/>
  <c r="S59" i="1"/>
  <c r="S58" i="1"/>
  <c r="S57" i="1"/>
  <c r="K68" i="1" s="1"/>
  <c r="Y74" i="1" s="1"/>
  <c r="L68" i="1"/>
  <c r="Y75" i="1" s="1"/>
  <c r="M68" i="1" l="1"/>
  <c r="N68" i="1"/>
  <c r="W74" i="1"/>
  <c r="N74" i="1"/>
  <c r="X74" i="1"/>
  <c r="R74" i="1"/>
  <c r="Q74" i="1"/>
  <c r="U74" i="1"/>
  <c r="M74" i="1"/>
  <c r="V74" i="1"/>
  <c r="T74" i="1"/>
  <c r="S74" i="1"/>
  <c r="P74" i="1"/>
  <c r="O74" i="1"/>
  <c r="S75" i="1"/>
  <c r="X75" i="1"/>
  <c r="Q75" i="1"/>
  <c r="W75" i="1"/>
  <c r="N75" i="1"/>
  <c r="M75" i="1"/>
  <c r="P75" i="1"/>
  <c r="U75" i="1"/>
  <c r="T75" i="1"/>
  <c r="O75" i="1"/>
  <c r="V75" i="1"/>
  <c r="R75" i="1"/>
  <c r="K74" i="1"/>
  <c r="L74" i="1"/>
  <c r="L75" i="1"/>
  <c r="K75" i="1"/>
  <c r="K71" i="1"/>
  <c r="L71" i="1" s="1"/>
  <c r="S76" i="1" l="1"/>
  <c r="Y76" i="1"/>
  <c r="W76" i="1"/>
  <c r="R76" i="1"/>
  <c r="Q76" i="1"/>
  <c r="O76" i="1"/>
  <c r="V76" i="1"/>
  <c r="K76" i="1"/>
  <c r="P76" i="1"/>
  <c r="U76" i="1"/>
  <c r="X76" i="1"/>
  <c r="N76" i="1"/>
  <c r="M76" i="1"/>
  <c r="T76" i="1"/>
  <c r="L76" i="1"/>
  <c r="K72" i="1"/>
  <c r="K73" i="1" s="1"/>
  <c r="K77" i="1" s="1"/>
  <c r="K78" i="1" l="1"/>
  <c r="L72" i="1"/>
  <c r="L73" i="1" s="1"/>
  <c r="L77" i="1" s="1"/>
  <c r="L78" i="1" s="1"/>
  <c r="L82" i="1"/>
  <c r="M71" i="1"/>
  <c r="L84" i="1" l="1"/>
  <c r="L86" i="1" s="1"/>
  <c r="L85" i="1"/>
  <c r="M72" i="1"/>
  <c r="M73" i="1" s="1"/>
  <c r="M77" i="1" s="1"/>
  <c r="M78" i="1" s="1"/>
  <c r="M82" i="1"/>
  <c r="N71" i="1"/>
  <c r="L87" i="1" l="1"/>
  <c r="M84" i="1"/>
  <c r="M86" i="1" s="1"/>
  <c r="M85" i="1"/>
  <c r="N72" i="1"/>
  <c r="N73" i="1" s="1"/>
  <c r="N77" i="1" s="1"/>
  <c r="N78" i="1" s="1"/>
  <c r="N82" i="1"/>
  <c r="N84" i="1" s="1"/>
  <c r="O71" i="1"/>
  <c r="O82" i="1" s="1"/>
  <c r="O84" i="1" l="1"/>
  <c r="N86" i="1"/>
  <c r="L88" i="1"/>
  <c r="L90" i="1" s="1"/>
  <c r="N85" i="1"/>
  <c r="O85" i="1" s="1"/>
  <c r="M87" i="1"/>
  <c r="P71" i="1"/>
  <c r="P82" i="1" s="1"/>
  <c r="O72" i="1"/>
  <c r="O73" i="1" s="1"/>
  <c r="O77" i="1" s="1"/>
  <c r="O78" i="1" s="1"/>
  <c r="O86" i="1" l="1"/>
  <c r="O87" i="1" s="1"/>
  <c r="P85" i="1"/>
  <c r="P84" i="1"/>
  <c r="L89" i="1"/>
  <c r="L91" i="1" s="1"/>
  <c r="L92" i="1" s="1"/>
  <c r="N87" i="1"/>
  <c r="N88" i="1" s="1"/>
  <c r="N90" i="1" s="1"/>
  <c r="M88" i="1"/>
  <c r="M90" i="1" s="1"/>
  <c r="P72" i="1"/>
  <c r="P73" i="1" s="1"/>
  <c r="P77" i="1" s="1"/>
  <c r="P78" i="1" s="1"/>
  <c r="Q71" i="1"/>
  <c r="Q82" i="1" s="1"/>
  <c r="P86" i="1" l="1"/>
  <c r="P87" i="1" s="1"/>
  <c r="Q85" i="1"/>
  <c r="Q84" i="1"/>
  <c r="M89" i="1"/>
  <c r="M91" i="1" s="1"/>
  <c r="M92" i="1" s="1"/>
  <c r="O88" i="1"/>
  <c r="O90" i="1" s="1"/>
  <c r="N89" i="1"/>
  <c r="N91" i="1" s="1"/>
  <c r="N92" i="1" s="1"/>
  <c r="R71" i="1"/>
  <c r="R82" i="1" s="1"/>
  <c r="Q72" i="1"/>
  <c r="Q73" i="1" s="1"/>
  <c r="Q77" i="1" s="1"/>
  <c r="Q78" i="1" s="1"/>
  <c r="Q86" i="1" l="1"/>
  <c r="Q87" i="1" s="1"/>
  <c r="R85" i="1"/>
  <c r="R84" i="1"/>
  <c r="O89" i="1"/>
  <c r="O91" i="1" s="1"/>
  <c r="O92" i="1" s="1"/>
  <c r="P88" i="1"/>
  <c r="P90" i="1" s="1"/>
  <c r="R72" i="1"/>
  <c r="R73" i="1" s="1"/>
  <c r="R77" i="1" s="1"/>
  <c r="R78" i="1" s="1"/>
  <c r="S71" i="1"/>
  <c r="S82" i="1" s="1"/>
  <c r="R86" i="1" l="1"/>
  <c r="R87" i="1" s="1"/>
  <c r="S84" i="1"/>
  <c r="S85" i="1"/>
  <c r="P89" i="1"/>
  <c r="P91" i="1" s="1"/>
  <c r="P92" i="1" s="1"/>
  <c r="Q88" i="1"/>
  <c r="Q90" i="1" s="1"/>
  <c r="T71" i="1"/>
  <c r="T82" i="1" s="1"/>
  <c r="S72" i="1"/>
  <c r="S73" i="1" s="1"/>
  <c r="S77" i="1" s="1"/>
  <c r="S78" i="1" s="1"/>
  <c r="S86" i="1" l="1"/>
  <c r="S87" i="1" s="1"/>
  <c r="T84" i="1"/>
  <c r="T85" i="1"/>
  <c r="Q89" i="1"/>
  <c r="Q91" i="1" s="1"/>
  <c r="Q92" i="1" s="1"/>
  <c r="R88" i="1"/>
  <c r="R90" i="1" s="1"/>
  <c r="U71" i="1"/>
  <c r="U82" i="1" s="1"/>
  <c r="T72" i="1"/>
  <c r="T73" i="1" s="1"/>
  <c r="T77" i="1" s="1"/>
  <c r="T78" i="1" s="1"/>
  <c r="T86" i="1" l="1"/>
  <c r="T87" i="1" s="1"/>
  <c r="U84" i="1"/>
  <c r="U85" i="1"/>
  <c r="R89" i="1"/>
  <c r="R91" i="1" s="1"/>
  <c r="R92" i="1" s="1"/>
  <c r="S88" i="1"/>
  <c r="S90" i="1" s="1"/>
  <c r="U72" i="1"/>
  <c r="U73" i="1" s="1"/>
  <c r="U77" i="1" s="1"/>
  <c r="U78" i="1" s="1"/>
  <c r="V71" i="1"/>
  <c r="V82" i="1" s="1"/>
  <c r="U86" i="1" l="1"/>
  <c r="V84" i="1"/>
  <c r="V85" i="1"/>
  <c r="T88" i="1"/>
  <c r="T90" i="1" s="1"/>
  <c r="S89" i="1"/>
  <c r="S91" i="1" s="1"/>
  <c r="S92" i="1" s="1"/>
  <c r="W71" i="1"/>
  <c r="W82" i="1" s="1"/>
  <c r="V72" i="1"/>
  <c r="V73" i="1" s="1"/>
  <c r="V77" i="1" s="1"/>
  <c r="V78" i="1" s="1"/>
  <c r="V86" i="1" l="1"/>
  <c r="U87" i="1"/>
  <c r="U88" i="1" s="1"/>
  <c r="U90" i="1" s="1"/>
  <c r="W84" i="1"/>
  <c r="W85" i="1"/>
  <c r="T89" i="1"/>
  <c r="T91" i="1" s="1"/>
  <c r="T92" i="1" s="1"/>
  <c r="W72" i="1"/>
  <c r="W73" i="1" s="1"/>
  <c r="W77" i="1" s="1"/>
  <c r="W78" i="1" s="1"/>
  <c r="X71" i="1"/>
  <c r="W86" i="1" l="1"/>
  <c r="W87" i="1" s="1"/>
  <c r="V87" i="1"/>
  <c r="V88" i="1" s="1"/>
  <c r="V90" i="1" s="1"/>
  <c r="X72" i="1"/>
  <c r="X73" i="1" s="1"/>
  <c r="X77" i="1" s="1"/>
  <c r="X78" i="1" s="1"/>
  <c r="Y71" i="1"/>
  <c r="X82" i="1"/>
  <c r="U89" i="1"/>
  <c r="U91" i="1" s="1"/>
  <c r="U92" i="1" s="1"/>
  <c r="X84" i="1" l="1"/>
  <c r="X86" i="1" s="1"/>
  <c r="X85" i="1"/>
  <c r="Y72" i="1"/>
  <c r="Y73" i="1" s="1"/>
  <c r="Y77" i="1" s="1"/>
  <c r="Y78" i="1" s="1"/>
  <c r="Y82" i="1"/>
  <c r="W88" i="1"/>
  <c r="W90" i="1" s="1"/>
  <c r="V89" i="1"/>
  <c r="V91" i="1" s="1"/>
  <c r="V92" i="1" s="1"/>
  <c r="X87" i="1" l="1"/>
  <c r="Y85" i="1"/>
  <c r="Y84" i="1"/>
  <c r="Y86" i="1" s="1"/>
  <c r="Y87" i="1" s="1"/>
  <c r="Y88" i="1" s="1"/>
  <c r="Y90" i="1" s="1"/>
  <c r="W89" i="1"/>
  <c r="W91" i="1" s="1"/>
  <c r="W92" i="1" s="1"/>
  <c r="X88" i="1"/>
  <c r="X90" i="1" s="1"/>
  <c r="Y89" i="1" l="1"/>
  <c r="Y91" i="1" s="1"/>
  <c r="Y92" i="1" s="1"/>
  <c r="X89" i="1"/>
  <c r="X91" i="1" s="1"/>
  <c r="X92" i="1" s="1"/>
</calcChain>
</file>

<file path=xl/sharedStrings.xml><?xml version="1.0" encoding="utf-8"?>
<sst xmlns="http://schemas.openxmlformats.org/spreadsheetml/2006/main" count="271" uniqueCount="134">
  <si>
    <t>Dane Wejściowe</t>
  </si>
  <si>
    <t>Projektowany Dopływ ścieków</t>
  </si>
  <si>
    <t>Qhmax</t>
  </si>
  <si>
    <t>Rzędna terenu</t>
  </si>
  <si>
    <t>m n.p.m.</t>
  </si>
  <si>
    <t>Rzędna dopływu ścieków</t>
  </si>
  <si>
    <t>Rzędna osi końca przewodu tłocznego</t>
  </si>
  <si>
    <t>Rzędna najwyższego punktu trasy</t>
  </si>
  <si>
    <t>Minimalny czas trwania cyklu pompy</t>
  </si>
  <si>
    <t>min</t>
  </si>
  <si>
    <t>s</t>
  </si>
  <si>
    <t>Legenda</t>
  </si>
  <si>
    <t>Rl</t>
  </si>
  <si>
    <t>Rk</t>
  </si>
  <si>
    <t>Rw</t>
  </si>
  <si>
    <t>Rt</t>
  </si>
  <si>
    <t>T</t>
  </si>
  <si>
    <t>Długość przewody tłocznego</t>
  </si>
  <si>
    <t>L</t>
  </si>
  <si>
    <t>m</t>
  </si>
  <si>
    <t>Wspołczynnik bezpieczeństwa</t>
  </si>
  <si>
    <t>-</t>
  </si>
  <si>
    <t>k</t>
  </si>
  <si>
    <t>=</t>
  </si>
  <si>
    <t>Przepływ obliczeniowy</t>
  </si>
  <si>
    <t>Qp</t>
  </si>
  <si>
    <t>l/s</t>
  </si>
  <si>
    <t>Przyjmuje się jako wydajność pompowni</t>
  </si>
  <si>
    <t>Awaryjna wysokość ścieków w zbiorniku</t>
  </si>
  <si>
    <t>h3</t>
  </si>
  <si>
    <t>Wysokość retencyjna w zbionriku</t>
  </si>
  <si>
    <t>h2</t>
  </si>
  <si>
    <t>Hg</t>
  </si>
  <si>
    <t>Rzędna zwierciadła ścieków</t>
  </si>
  <si>
    <t>Hzw</t>
  </si>
  <si>
    <t>Geometryczna wysokość podnoszenia ścieków</t>
  </si>
  <si>
    <t>Obliczenia wstępne</t>
  </si>
  <si>
    <t>wypełnić</t>
  </si>
  <si>
    <t>zweryfikować</t>
  </si>
  <si>
    <r>
      <t>m</t>
    </r>
    <r>
      <rPr>
        <sz val="11"/>
        <color theme="1"/>
        <rFont val="Calibri"/>
        <family val="2"/>
        <charset val="238"/>
      </rPr>
      <t>³</t>
    </r>
    <r>
      <rPr>
        <sz val="11"/>
        <color theme="1"/>
        <rFont val="Calibri"/>
        <family val="2"/>
        <charset val="238"/>
        <scheme val="minor"/>
      </rPr>
      <t>/h</t>
    </r>
  </si>
  <si>
    <t>m³/h</t>
  </si>
  <si>
    <t>Stała</t>
  </si>
  <si>
    <t>Dana wejściowa</t>
  </si>
  <si>
    <t>Obliczenie</t>
  </si>
  <si>
    <t>Dobór z żródeł zewn. (katalog, nomogram)</t>
  </si>
  <si>
    <t>Dobór średnic</t>
  </si>
  <si>
    <t>Zakres prędkości</t>
  </si>
  <si>
    <t>v</t>
  </si>
  <si>
    <t>:</t>
  </si>
  <si>
    <t>m/s</t>
  </si>
  <si>
    <t>Średnica przewodu</t>
  </si>
  <si>
    <t>Ø</t>
  </si>
  <si>
    <t>mm</t>
  </si>
  <si>
    <t>Straty liniowe</t>
  </si>
  <si>
    <t>i</t>
  </si>
  <si>
    <t>Wsp. strat liniowych</t>
  </si>
  <si>
    <t>Δh</t>
  </si>
  <si>
    <t>Prędkość przepływu</t>
  </si>
  <si>
    <t>Suma współczynników strat miejscowych</t>
  </si>
  <si>
    <t>ζ</t>
  </si>
  <si>
    <t>Straty miejscowe</t>
  </si>
  <si>
    <t>Suma strat na przewodzie</t>
  </si>
  <si>
    <t>Przewód wewnętrzny</t>
  </si>
  <si>
    <t>Przewód zewnętrzny</t>
  </si>
  <si>
    <t>‰</t>
  </si>
  <si>
    <t>Rd</t>
  </si>
  <si>
    <t>Założona długość przewodu wewnętrznego</t>
  </si>
  <si>
    <t>Suma strat na hydraulicznych</t>
  </si>
  <si>
    <t>Σh</t>
  </si>
  <si>
    <t>H</t>
  </si>
  <si>
    <t>Zestaw pompowy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</si>
  <si>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</si>
  <si>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</si>
  <si>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</si>
  <si>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</si>
  <si>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</si>
  <si>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</si>
  <si>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</si>
  <si>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</si>
  <si>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</si>
  <si>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</si>
  <si>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</si>
  <si>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</si>
  <si>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</si>
  <si>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</si>
  <si>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</si>
  <si>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Q</t>
  </si>
  <si>
    <t>Sprawdzenie</t>
  </si>
  <si>
    <t>Objętość czynna</t>
  </si>
  <si>
    <t>Pole przekroju studni</t>
  </si>
  <si>
    <t>A</t>
  </si>
  <si>
    <r>
      <t>m</t>
    </r>
    <r>
      <rPr>
        <sz val="11"/>
        <color theme="1"/>
        <rFont val="Calibri"/>
        <family val="2"/>
        <charset val="238"/>
      </rPr>
      <t>²</t>
    </r>
  </si>
  <si>
    <t>Vcz</t>
  </si>
  <si>
    <r>
      <t>m</t>
    </r>
    <r>
      <rPr>
        <sz val="11"/>
        <color theme="1"/>
        <rFont val="Calibri"/>
        <family val="2"/>
        <charset val="238"/>
      </rPr>
      <t>³</t>
    </r>
  </si>
  <si>
    <t>Wysokość czynna</t>
  </si>
  <si>
    <t>hcz</t>
  </si>
  <si>
    <t>Założona rzędna wyłączenia pompy</t>
  </si>
  <si>
    <t>Wysokość martwa</t>
  </si>
  <si>
    <t>hm</t>
  </si>
  <si>
    <t>Założona rzedna dna</t>
  </si>
  <si>
    <t>Najpierw była 1 m, w późniejszych oblicze. pominięto</t>
  </si>
  <si>
    <t>Obliczenia punktów pracy:</t>
  </si>
  <si>
    <t>Sprawdzana rzędna [m n.p.m.]:</t>
  </si>
  <si>
    <t>Krok sprawdzanej rzędnej</t>
  </si>
  <si>
    <t>Geometryczna wysokość podnoszenia [m]:</t>
  </si>
  <si>
    <t>Wspołczynniki wielomianu charakterystyki pompy</t>
  </si>
  <si>
    <t>wzór: y = c3 * x^3 + c2 * x^2 + c1 * x + b</t>
  </si>
  <si>
    <t>Zestaw przewodów</t>
  </si>
  <si>
    <t>i [‰]</t>
  </si>
  <si>
    <t>hlin [m]</t>
  </si>
  <si>
    <t>v [m/s]</t>
  </si>
  <si>
    <t>hmsc [m]</t>
  </si>
  <si>
    <t>Straty</t>
  </si>
  <si>
    <t>c0 wielomianu przewodów</t>
  </si>
  <si>
    <t>c3 różnicy wielomianów</t>
  </si>
  <si>
    <t>c2 różnicy wielomianów</t>
  </si>
  <si>
    <t>c1 różnicy wielomianów</t>
  </si>
  <si>
    <t>c0 różnicy wielomianów</t>
  </si>
  <si>
    <t>Q punktu pracy</t>
  </si>
  <si>
    <t>Wartość wielomianu w Q = 0</t>
  </si>
  <si>
    <t>H punktu pracy</t>
  </si>
  <si>
    <t>Objętość iteracyjna [m³]</t>
  </si>
  <si>
    <t>Średnia wydajność na obj. it. [m³/s]</t>
  </si>
  <si>
    <t>Czas wypompowywania przy brak dopływu [s]</t>
  </si>
  <si>
    <t>Suma czasów [s]</t>
  </si>
  <si>
    <t>Suma objętości [m³]</t>
  </si>
  <si>
    <t>Rzeczywista wydajność pompy [m³/h]</t>
  </si>
  <si>
    <t>Makro</t>
  </si>
  <si>
    <t>uruchomić</t>
  </si>
  <si>
    <t>Dopływ najmniej korzystny [m³/h]</t>
  </si>
  <si>
    <t>Wydajność pompowania z dopływem [m³/h]</t>
  </si>
  <si>
    <t>Czas cyklu [s]</t>
  </si>
  <si>
    <t>Czas postoju pompy (czas napełniania) [s]</t>
  </si>
  <si>
    <t>Czas pracy pompy (czas opróżniania) [s]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</si>
</sst>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0.0000"/>
  </numFmts>
  <fonts count="10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26"/>
      <color theme="1"/>
      <name val="Calibri"/>
      <family val="2"/>
      <charset val="238"/>
      <scheme val="minor"/>
    </font>
    <font>
      <sz val="9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b/>
      <sz val="11"/>
      <color theme="1"/>
      <name val="Calibri"/>
      <family val="2"/>
      <charset val="238"/>
    </font>
    <font>
      <sz val="8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u/>
      <sz val="14"/>
      <color theme="1"/>
      <name val="Calibri"/>
      <family val="2"/>
      <charset val="23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99FF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3">
    <xf numFmtId="0" fontId="0" fillId="0" borderId="0" xfId="0"/>
    <xf numFmtId="0" fontId="3" fillId="0" borderId="0" xfId="0" applyFont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/>
    <xf numFmtId="2" fontId="0" fillId="4" borderId="0" xfId="0" applyNumberFormat="1" applyFill="1"/>
    <xf numFmtId="2" fontId="0" fillId="2" borderId="0" xfId="0" applyNumberFormat="1" applyFill="1" applyAlignment="1"/>
    <xf numFmtId="2" fontId="0" fillId="0" borderId="0" xfId="0" applyNumberFormat="1" applyAlignment="1"/>
    <xf numFmtId="2" fontId="0" fillId="3" borderId="0" xfId="0" applyNumberFormat="1" applyFill="1" applyAlignment="1"/>
    <xf numFmtId="2" fontId="0" fillId="4" borderId="0" xfId="0" applyNumberFormat="1" applyFill="1" applyAlignment="1"/>
    <xf numFmtId="164" fontId="0" fillId="3" borderId="0" xfId="0" applyNumberFormat="1" applyFill="1" applyAlignment="1"/>
    <xf numFmtId="1" fontId="0" fillId="4" borderId="0" xfId="0" applyNumberFormat="1" applyFill="1"/>
    <xf numFmtId="2" fontId="0" fillId="0" borderId="0" xfId="0" applyNumberFormat="1" applyFill="1"/>
    <xf numFmtId="164" fontId="0" fillId="2" borderId="0" xfId="0" applyNumberFormat="1" applyFill="1" applyAlignment="1"/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left"/>
    </xf>
    <xf numFmtId="0" fontId="5" fillId="0" borderId="0" xfId="0" applyFont="1" applyAlignment="1">
      <alignment horizontal="right"/>
    </xf>
    <xf numFmtId="1" fontId="0" fillId="5" borderId="0" xfId="0" applyNumberFormat="1" applyFill="1" applyAlignment="1"/>
    <xf numFmtId="2" fontId="0" fillId="5" borderId="0" xfId="0" applyNumberFormat="1" applyFill="1" applyAlignment="1"/>
    <xf numFmtId="0" fontId="5" fillId="0" borderId="0" xfId="0" applyFont="1"/>
    <xf numFmtId="164" fontId="0" fillId="5" borderId="0" xfId="1" applyNumberFormat="1" applyFont="1" applyFill="1" applyAlignment="1"/>
    <xf numFmtId="164" fontId="0" fillId="0" borderId="0" xfId="0" applyNumberFormat="1" applyFill="1" applyAlignment="1">
      <alignment horizontal="left"/>
    </xf>
    <xf numFmtId="2" fontId="2" fillId="4" borderId="0" xfId="0" applyNumberFormat="1" applyFont="1" applyFill="1" applyAlignment="1"/>
    <xf numFmtId="0" fontId="2" fillId="0" borderId="0" xfId="0" applyFont="1"/>
    <xf numFmtId="0" fontId="6" fillId="0" borderId="0" xfId="0" applyFont="1" applyAlignment="1">
      <alignment horizontal="right"/>
    </xf>
    <xf numFmtId="164" fontId="0" fillId="5" borderId="0" xfId="0" applyNumberFormat="1" applyFill="1" applyAlignment="1"/>
    <xf numFmtId="0" fontId="0" fillId="5" borderId="0" xfId="0" applyFill="1"/>
    <xf numFmtId="2" fontId="0" fillId="6" borderId="0" xfId="0" applyNumberFormat="1" applyFill="1" applyAlignment="1"/>
    <xf numFmtId="0" fontId="8" fillId="0" borderId="0" xfId="0" applyFont="1"/>
    <xf numFmtId="2" fontId="0" fillId="0" borderId="0" xfId="0" applyNumberFormat="1"/>
    <xf numFmtId="2" fontId="0" fillId="0" borderId="0" xfId="0" applyNumberFormat="1" applyAlignment="1">
      <alignment horizontal="right"/>
    </xf>
    <xf numFmtId="164" fontId="0" fillId="5" borderId="0" xfId="0" applyNumberFormat="1" applyFill="1"/>
    <xf numFmtId="165" fontId="0" fillId="4" borderId="0" xfId="0" applyNumberFormat="1" applyFill="1"/>
    <xf numFmtId="165" fontId="0" fillId="4" borderId="0" xfId="0" applyNumberFormat="1" applyFill="1" applyAlignment="1"/>
    <xf numFmtId="0" fontId="4" fillId="0" borderId="0" xfId="0" applyFont="1" applyAlignment="1">
      <alignment horizontal="right"/>
    </xf>
    <xf numFmtId="2" fontId="0" fillId="7" borderId="0" xfId="0" applyNumberFormat="1" applyFill="1" applyAlignment="1">
      <alignment horizontal="right"/>
    </xf>
    <xf numFmtId="2" fontId="0" fillId="7" borderId="0" xfId="0" applyNumberFormat="1" applyFill="1" applyAlignment="1"/>
    <xf numFmtId="2" fontId="0" fillId="0" borderId="0" xfId="0" applyNumberFormat="1" applyFill="1" applyAlignment="1"/>
    <xf numFmtId="166" fontId="0" fillId="4" borderId="0" xfId="0" applyNumberFormat="1" applyFill="1"/>
    <xf numFmtId="1" fontId="0" fillId="0" borderId="0" xfId="0" applyNumberFormat="1"/>
    <xf numFmtId="0" fontId="0" fillId="0" borderId="0" xfId="0" applyAlignment="1">
      <alignment horizontal="center" vertical="center" textRotation="90"/>
    </xf>
    <xf numFmtId="0" fontId="9" fillId="0" borderId="0" xfId="0" applyFont="1" applyAlignment="1">
      <alignment horizontal="center" vertical="center"/>
    </xf>
    <xf numFmtId="0" fontId="4" fillId="0" borderId="0" xfId="0" applyFont="1" applyAlignment="1">
      <alignment horizontal="right"/>
    </xf>
  </cellXfs>
  <cellStyles count="2">
    <cellStyle name="Normalny" xfId="0" builtinId="0"/>
    <cellStyle name="Procentowy" xfId="1" builtinId="5"/>
  </cellStyles>
  <dxfs count="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5D7F7-63CE-41C8-BACC-CE02861A201D}">
  <sheetPr codeName="Arkusz1"/>
  <dimension ref="A1:Y92"/>
  <sheetViews>
    <sheetView tabSelected="1" topLeftCell="A40" workbookViewId="0">
      <selection activeCell="I11" sqref="I11"/>
    </sheetView>
  </sheetViews>
  <sheetFormatPr defaultRowHeight="15" x14ac:dyDescent="0.25"/>
  <cols>
    <col min="1" max="1" width="4.7109375" customWidth="1"/>
    <col min="2" max="2" width="46.140625" customWidth="1"/>
    <col min="3" max="3" width="9.42578125" style="2" customWidth="1"/>
    <col min="4" max="4" width="1.7109375" customWidth="1"/>
    <col min="5" max="5" width="10.28515625" style="7" customWidth="1"/>
    <col min="9" max="9" width="38.28515625" customWidth="1"/>
    <col min="10" max="10" width="41.28515625" customWidth="1"/>
    <col min="11" max="16" width="10" customWidth="1"/>
  </cols>
  <sheetData>
    <row r="1" spans="2:8" ht="33.75" x14ac:dyDescent="0.5">
      <c r="B1" s="1" t="s">
        <v>11</v>
      </c>
    </row>
    <row r="2" spans="2:8" x14ac:dyDescent="0.25">
      <c r="B2" t="s">
        <v>42</v>
      </c>
      <c r="C2" s="42" t="s">
        <v>37</v>
      </c>
      <c r="D2" s="42"/>
      <c r="E2" s="6"/>
    </row>
    <row r="3" spans="2:8" x14ac:dyDescent="0.25">
      <c r="B3" t="s">
        <v>41</v>
      </c>
      <c r="C3" s="42" t="s">
        <v>38</v>
      </c>
      <c r="D3" s="42"/>
      <c r="E3" s="8"/>
    </row>
    <row r="4" spans="2:8" x14ac:dyDescent="0.25">
      <c r="B4" t="s">
        <v>43</v>
      </c>
      <c r="C4" s="42"/>
      <c r="D4" s="42"/>
      <c r="E4" s="9"/>
    </row>
    <row r="5" spans="2:8" x14ac:dyDescent="0.25">
      <c r="B5" t="s">
        <v>44</v>
      </c>
      <c r="C5" s="42" t="s">
        <v>37</v>
      </c>
      <c r="D5" s="42"/>
      <c r="E5" s="18"/>
    </row>
    <row r="6" spans="2:8" x14ac:dyDescent="0.25">
      <c r="B6" t="s">
        <v>127</v>
      </c>
      <c r="C6" s="42" t="s">
        <v>128</v>
      </c>
      <c r="D6" s="42"/>
      <c r="E6" s="36"/>
    </row>
    <row r="7" spans="2:8" x14ac:dyDescent="0.25">
      <c r="C7" s="34"/>
      <c r="D7" s="34"/>
      <c r="E7" s="37"/>
    </row>
    <row r="9" spans="2:8" ht="33.75" x14ac:dyDescent="0.5">
      <c r="B9" s="1" t="s">
        <v>0</v>
      </c>
    </row>
    <row r="10" spans="2:8" x14ac:dyDescent="0.25">
      <c r="B10" t="s">
        <v>1</v>
      </c>
      <c r="C10" s="2" t="s">
        <v>2</v>
      </c>
      <c r="D10" t="s">
        <v>23</v>
      </c>
      <c r="E10" s="6"/>
      <c r="F10" t="s">
        <v>39</v>
      </c>
    </row>
    <row r="11" spans="2:8" x14ac:dyDescent="0.25">
      <c r="B11" t="s">
        <v>3</v>
      </c>
      <c r="C11" s="2" t="s">
        <v>12</v>
      </c>
      <c r="D11" t="s">
        <v>23</v>
      </c>
      <c r="E11" s="6"/>
      <c r="F11" t="s">
        <v>4</v>
      </c>
    </row>
    <row r="12" spans="2:8" x14ac:dyDescent="0.25">
      <c r="B12" t="s">
        <v>5</v>
      </c>
      <c r="C12" s="2" t="s">
        <v>13</v>
      </c>
      <c r="D12" t="s">
        <v>23</v>
      </c>
      <c r="E12" s="6"/>
      <c r="F12" t="s">
        <v>4</v>
      </c>
    </row>
    <row r="13" spans="2:8" x14ac:dyDescent="0.25">
      <c r="B13" t="s">
        <v>6</v>
      </c>
      <c r="C13" s="2" t="s">
        <v>14</v>
      </c>
      <c r="D13" t="s">
        <v>23</v>
      </c>
      <c r="E13" s="6"/>
      <c r="F13" t="s">
        <v>4</v>
      </c>
    </row>
    <row r="14" spans="2:8" x14ac:dyDescent="0.25">
      <c r="B14" t="s">
        <v>7</v>
      </c>
      <c r="C14" s="2" t="s">
        <v>15</v>
      </c>
      <c r="D14" t="s">
        <v>23</v>
      </c>
      <c r="E14" s="6"/>
      <c r="F14" t="s">
        <v>4</v>
      </c>
    </row>
    <row r="15" spans="2:8" x14ac:dyDescent="0.25">
      <c r="B15" t="s">
        <v>8</v>
      </c>
      <c r="C15" s="2" t="s">
        <v>16</v>
      </c>
      <c r="D15" t="s">
        <v>23</v>
      </c>
      <c r="E15" s="13"/>
      <c r="F15" t="s">
        <v>9</v>
      </c>
      <c r="G15" s="11">
        <f>E15*60</f>
        <v>0</v>
      </c>
      <c r="H15" t="s">
        <v>10</v>
      </c>
    </row>
    <row r="16" spans="2:8" x14ac:dyDescent="0.25">
      <c r="B16" t="s">
        <v>17</v>
      </c>
      <c r="C16" s="2" t="s">
        <v>18</v>
      </c>
      <c r="D16" t="s">
        <v>23</v>
      </c>
      <c r="E16" s="13"/>
      <c r="F16" t="s">
        <v>19</v>
      </c>
    </row>
    <row r="19" spans="1:9" ht="33.75" x14ac:dyDescent="0.5">
      <c r="B19" s="1" t="s">
        <v>36</v>
      </c>
    </row>
    <row r="20" spans="1:9" x14ac:dyDescent="0.25">
      <c r="B20" t="s">
        <v>20</v>
      </c>
      <c r="C20" s="2" t="s">
        <v>22</v>
      </c>
      <c r="D20" t="s">
        <v>23</v>
      </c>
      <c r="E20" s="10">
        <v>1.4</v>
      </c>
      <c r="F20" t="s">
        <v>21</v>
      </c>
    </row>
    <row r="21" spans="1:9" x14ac:dyDescent="0.25">
      <c r="B21" t="s">
        <v>24</v>
      </c>
      <c r="C21" s="2" t="s">
        <v>25</v>
      </c>
      <c r="D21" t="s">
        <v>23</v>
      </c>
      <c r="E21" s="9">
        <f>E10*E20</f>
        <v>0</v>
      </c>
      <c r="F21" t="s">
        <v>40</v>
      </c>
      <c r="G21" s="5">
        <f>E21/3.6</f>
        <v>0</v>
      </c>
      <c r="H21" t="s">
        <v>26</v>
      </c>
      <c r="I21" s="12" t="s">
        <v>27</v>
      </c>
    </row>
    <row r="22" spans="1:9" x14ac:dyDescent="0.25">
      <c r="B22" t="s">
        <v>28</v>
      </c>
      <c r="C22" s="2" t="s">
        <v>29</v>
      </c>
      <c r="D22" t="s">
        <v>23</v>
      </c>
      <c r="E22" s="8">
        <v>0.2</v>
      </c>
      <c r="F22" s="4" t="s">
        <v>19</v>
      </c>
    </row>
    <row r="23" spans="1:9" x14ac:dyDescent="0.25">
      <c r="B23" t="s">
        <v>30</v>
      </c>
      <c r="C23" s="2" t="s">
        <v>31</v>
      </c>
      <c r="D23" t="s">
        <v>23</v>
      </c>
      <c r="E23" s="8">
        <v>0</v>
      </c>
      <c r="F23" s="4" t="s">
        <v>19</v>
      </c>
      <c r="I23" s="28" t="s">
        <v>100</v>
      </c>
    </row>
    <row r="24" spans="1:9" x14ac:dyDescent="0.25">
      <c r="B24" t="s">
        <v>33</v>
      </c>
      <c r="C24" s="2" t="s">
        <v>34</v>
      </c>
      <c r="D24" t="s">
        <v>23</v>
      </c>
      <c r="E24" s="9">
        <f>E12-E22-E23</f>
        <v>-0.2</v>
      </c>
      <c r="F24" s="4" t="s">
        <v>4</v>
      </c>
    </row>
    <row r="25" spans="1:9" x14ac:dyDescent="0.25">
      <c r="B25" t="s">
        <v>35</v>
      </c>
      <c r="C25" s="2" t="s">
        <v>32</v>
      </c>
      <c r="D25" t="s">
        <v>23</v>
      </c>
      <c r="E25" s="9">
        <f>E14-E24</f>
        <v>0.2</v>
      </c>
      <c r="F25" s="4" t="s">
        <v>19</v>
      </c>
    </row>
    <row r="28" spans="1:9" ht="33.75" x14ac:dyDescent="0.5">
      <c r="B28" s="1" t="s">
        <v>45</v>
      </c>
    </row>
    <row r="29" spans="1:9" x14ac:dyDescent="0.25">
      <c r="A29" s="40" t="s">
        <v>62</v>
      </c>
      <c r="B29" t="s">
        <v>46</v>
      </c>
      <c r="C29" s="2" t="s">
        <v>47</v>
      </c>
      <c r="D29" t="s">
        <v>48</v>
      </c>
      <c r="E29" s="10">
        <v>1.5</v>
      </c>
      <c r="F29" s="14" t="s">
        <v>21</v>
      </c>
      <c r="G29" s="15">
        <v>2.5</v>
      </c>
      <c r="H29" t="s">
        <v>49</v>
      </c>
    </row>
    <row r="30" spans="1:9" x14ac:dyDescent="0.25">
      <c r="A30" s="40"/>
      <c r="B30" t="s">
        <v>66</v>
      </c>
      <c r="C30" s="2" t="s">
        <v>65</v>
      </c>
      <c r="D30" t="s">
        <v>23</v>
      </c>
      <c r="E30" s="25"/>
      <c r="F30" s="3" t="s">
        <v>19</v>
      </c>
      <c r="G30" s="21"/>
    </row>
    <row r="31" spans="1:9" x14ac:dyDescent="0.25">
      <c r="A31" s="40"/>
      <c r="B31" t="s">
        <v>50</v>
      </c>
      <c r="C31" s="16" t="s">
        <v>51</v>
      </c>
      <c r="D31" t="s">
        <v>23</v>
      </c>
      <c r="E31" s="17"/>
      <c r="F31" t="s">
        <v>52</v>
      </c>
      <c r="G31" s="32">
        <f>POWER((E31/1000)/2, 2)*3.14</f>
        <v>0</v>
      </c>
      <c r="H31" t="s">
        <v>91</v>
      </c>
    </row>
    <row r="32" spans="1:9" x14ac:dyDescent="0.25">
      <c r="A32" s="40"/>
      <c r="B32" t="s">
        <v>55</v>
      </c>
      <c r="C32" s="2" t="s">
        <v>54</v>
      </c>
      <c r="D32" t="s">
        <v>23</v>
      </c>
      <c r="E32" s="20"/>
      <c r="F32" s="19" t="s">
        <v>64</v>
      </c>
    </row>
    <row r="33" spans="1:8" x14ac:dyDescent="0.25">
      <c r="A33" s="40"/>
      <c r="B33" t="s">
        <v>53</v>
      </c>
      <c r="C33" s="16" t="s">
        <v>56</v>
      </c>
      <c r="D33" t="s">
        <v>23</v>
      </c>
      <c r="E33" s="9">
        <f>E32*E30/1000</f>
        <v>0</v>
      </c>
      <c r="F33" t="s">
        <v>19</v>
      </c>
    </row>
    <row r="34" spans="1:8" x14ac:dyDescent="0.25">
      <c r="A34" s="40"/>
      <c r="B34" t="s">
        <v>57</v>
      </c>
      <c r="C34" s="2" t="s">
        <v>47</v>
      </c>
      <c r="D34" t="s">
        <v>23</v>
      </c>
      <c r="E34" s="9" t="e">
        <f>(4*G$21/1000)/(3.14*POWER(E31/1000, 2))</f>
        <v>#DIV/0!</v>
      </c>
      <c r="F34" t="s">
        <v>49</v>
      </c>
    </row>
    <row r="35" spans="1:8" x14ac:dyDescent="0.25">
      <c r="A35" s="40"/>
      <c r="B35" t="s">
        <v>58</v>
      </c>
      <c r="C35" s="16" t="s">
        <v>59</v>
      </c>
      <c r="D35" t="s">
        <v>23</v>
      </c>
      <c r="E35" s="18"/>
      <c r="F35" t="s">
        <v>21</v>
      </c>
    </row>
    <row r="36" spans="1:8" x14ac:dyDescent="0.25">
      <c r="A36" s="40"/>
      <c r="B36" t="s">
        <v>60</v>
      </c>
      <c r="C36" s="16" t="s">
        <v>56</v>
      </c>
      <c r="D36" t="s">
        <v>23</v>
      </c>
      <c r="E36" s="9" t="e">
        <f>E35*POWER(E34, 2)/(2*9.81)</f>
        <v>#DIV/0!</v>
      </c>
    </row>
    <row r="37" spans="1:8" x14ac:dyDescent="0.25">
      <c r="A37" s="40"/>
      <c r="B37" t="s">
        <v>61</v>
      </c>
      <c r="C37" s="16" t="s">
        <v>56</v>
      </c>
      <c r="D37" t="s">
        <v>23</v>
      </c>
      <c r="E37" s="9" t="e">
        <f>E36+E33</f>
        <v>#DIV/0!</v>
      </c>
    </row>
    <row r="38" spans="1:8" x14ac:dyDescent="0.25">
      <c r="A38" s="40" t="s">
        <v>63</v>
      </c>
      <c r="B38" t="s">
        <v>46</v>
      </c>
      <c r="C38" s="2" t="s">
        <v>47</v>
      </c>
      <c r="D38" t="s">
        <v>48</v>
      </c>
      <c r="E38" s="10">
        <v>0.8</v>
      </c>
      <c r="F38" s="14" t="s">
        <v>21</v>
      </c>
      <c r="G38" s="15">
        <v>1</v>
      </c>
      <c r="H38" t="s">
        <v>49</v>
      </c>
    </row>
    <row r="39" spans="1:8" x14ac:dyDescent="0.25">
      <c r="A39" s="40"/>
      <c r="B39" t="s">
        <v>50</v>
      </c>
      <c r="C39" s="16" t="s">
        <v>51</v>
      </c>
      <c r="D39" t="s">
        <v>23</v>
      </c>
      <c r="E39" s="17"/>
      <c r="F39" t="s">
        <v>52</v>
      </c>
      <c r="G39" s="32">
        <f>POWER((E39/1000)/2, 2)*3.14</f>
        <v>0</v>
      </c>
      <c r="H39" t="s">
        <v>91</v>
      </c>
    </row>
    <row r="40" spans="1:8" x14ac:dyDescent="0.25">
      <c r="A40" s="40"/>
      <c r="B40" t="s">
        <v>55</v>
      </c>
      <c r="C40" s="2" t="s">
        <v>54</v>
      </c>
      <c r="D40" t="s">
        <v>23</v>
      </c>
      <c r="E40" s="20"/>
      <c r="F40" s="19" t="s">
        <v>64</v>
      </c>
    </row>
    <row r="41" spans="1:8" x14ac:dyDescent="0.25">
      <c r="A41" s="40"/>
      <c r="B41" t="s">
        <v>53</v>
      </c>
      <c r="C41" s="16" t="s">
        <v>56</v>
      </c>
      <c r="D41" t="s">
        <v>23</v>
      </c>
      <c r="E41" s="9">
        <f>E40*E$16/1000</f>
        <v>0</v>
      </c>
      <c r="F41" t="s">
        <v>19</v>
      </c>
    </row>
    <row r="42" spans="1:8" x14ac:dyDescent="0.25">
      <c r="A42" s="40"/>
      <c r="B42" t="s">
        <v>57</v>
      </c>
      <c r="C42" s="2" t="s">
        <v>47</v>
      </c>
      <c r="D42" t="s">
        <v>23</v>
      </c>
      <c r="E42" s="9" t="e">
        <f>(4*G$21/1000)/(3.14*POWER(E39/1000, 2))</f>
        <v>#DIV/0!</v>
      </c>
      <c r="F42" t="s">
        <v>49</v>
      </c>
    </row>
    <row r="43" spans="1:8" x14ac:dyDescent="0.25">
      <c r="A43" s="40"/>
      <c r="B43" t="s">
        <v>58</v>
      </c>
      <c r="C43" s="16" t="s">
        <v>59</v>
      </c>
      <c r="D43" t="s">
        <v>23</v>
      </c>
      <c r="E43" s="18"/>
      <c r="F43" t="s">
        <v>21</v>
      </c>
    </row>
    <row r="44" spans="1:8" x14ac:dyDescent="0.25">
      <c r="A44" s="40"/>
      <c r="B44" t="s">
        <v>60</v>
      </c>
      <c r="C44" s="16" t="s">
        <v>56</v>
      </c>
      <c r="D44" t="s">
        <v>23</v>
      </c>
      <c r="E44" s="9" t="e">
        <f>E43*POWER(E42, 2)/(2*9.81)</f>
        <v>#DIV/0!</v>
      </c>
      <c r="F44" t="s">
        <v>19</v>
      </c>
    </row>
    <row r="45" spans="1:8" x14ac:dyDescent="0.25">
      <c r="A45" s="40"/>
      <c r="B45" t="s">
        <v>61</v>
      </c>
      <c r="C45" s="16" t="s">
        <v>56</v>
      </c>
      <c r="D45" t="s">
        <v>23</v>
      </c>
      <c r="E45" s="9" t="e">
        <f>E44+E41</f>
        <v>#DIV/0!</v>
      </c>
      <c r="F45" t="s">
        <v>19</v>
      </c>
    </row>
    <row r="46" spans="1:8" x14ac:dyDescent="0.25">
      <c r="B46" s="23" t="s">
        <v>67</v>
      </c>
      <c r="C46" s="24" t="s">
        <v>68</v>
      </c>
      <c r="D46" s="23" t="s">
        <v>23</v>
      </c>
      <c r="E46" s="22" t="e">
        <f>E45+E37</f>
        <v>#DIV/0!</v>
      </c>
      <c r="F46" t="s">
        <v>19</v>
      </c>
    </row>
    <row r="49" spans="2:19" ht="33.75" x14ac:dyDescent="0.5">
      <c r="B49" s="1" t="s">
        <v>70</v>
      </c>
      <c r="C49"/>
      <c r="J49" s="1" t="s">
        <v>107</v>
      </c>
    </row>
    <row r="50" spans="2:19" x14ac:dyDescent="0.25">
      <c r="C50"/>
    </row>
    <row r="51" spans="2:19" x14ac:dyDescent="0.25">
      <c r="C51"/>
    </row>
    <row r="52" spans="2:19" x14ac:dyDescent="0.25">
      <c r="C52"/>
      <c r="E52" s="7" t="s">
        <v>86</v>
      </c>
      <c r="G52" t="s">
        <v>69</v>
      </c>
      <c r="K52" t="s">
        <v>108</v>
      </c>
      <c r="L52" t="s">
        <v>109</v>
      </c>
      <c r="M52" t="s">
        <v>110</v>
      </c>
      <c r="N52" t="s">
        <v>111</v>
      </c>
      <c r="O52" t="s">
        <v>108</v>
      </c>
      <c r="P52" t="s">
        <v>109</v>
      </c>
      <c r="Q52" t="s">
        <v>110</v>
      </c>
      <c r="R52" t="s">
        <v>111</v>
      </c>
      <c r="S52" t="s">
        <v>112</v>
      </c>
    </row>
    <row r="53" spans="2:19" x14ac:dyDescent="0.25">
      <c r="C53" t="s">
        <v>71</v>
      </c>
      <c r="D53" t="s">
        <v>48</v>
      </c>
      <c r="E53" s="25"/>
      <c r="F53" t="s">
        <v>40</v>
      </c>
      <c r="G53" s="31"/>
      <c r="H53" t="s">
        <v>19</v>
      </c>
      <c r="K53" s="31"/>
      <c r="L53" s="32">
        <f t="shared" ref="L53:L67" si="0">K53*$E$30/1000</f>
        <v>0</v>
      </c>
      <c r="M53" s="5" t="e">
        <f t="shared" ref="M53:M67" si="1">E53/3600/$G$31</f>
        <v>#DIV/0!</v>
      </c>
      <c r="N53" s="32" t="e">
        <f t="shared" ref="N53:N67" si="2">(POWER(M53, 2)/(2*9.81))*$E$35</f>
        <v>#DIV/0!</v>
      </c>
      <c r="O53" s="26"/>
      <c r="P53" s="32">
        <f t="shared" ref="P53:P67" si="3">O53*$E$16/1000</f>
        <v>0</v>
      </c>
      <c r="Q53" s="5" t="e">
        <f t="shared" ref="Q53:Q67" si="4">E53/3600/$G$39</f>
        <v>#DIV/0!</v>
      </c>
      <c r="R53" s="32" t="e">
        <f t="shared" ref="R53:R67" si="5">(POWER(Q53, 2)/(2*9.81))*$E$43</f>
        <v>#DIV/0!</v>
      </c>
      <c r="S53" s="32" t="e">
        <f>L53+N53+P53+R53</f>
        <v>#DIV/0!</v>
      </c>
    </row>
    <row r="54" spans="2:19" x14ac:dyDescent="0.25">
      <c r="C54" t="s">
        <v>72</v>
      </c>
      <c r="D54" t="s">
        <v>48</v>
      </c>
      <c r="E54" s="25"/>
      <c r="F54" t="s">
        <v>40</v>
      </c>
      <c r="G54" s="31"/>
      <c r="H54" t="s">
        <v>19</v>
      </c>
      <c r="K54" s="31"/>
      <c r="L54" s="32">
        <f t="shared" si="0"/>
        <v>0</v>
      </c>
      <c r="M54" s="5" t="e">
        <f t="shared" si="1"/>
        <v>#DIV/0!</v>
      </c>
      <c r="N54" s="32" t="e">
        <f t="shared" si="2"/>
        <v>#DIV/0!</v>
      </c>
      <c r="O54" s="26"/>
      <c r="P54" s="32">
        <f t="shared" si="3"/>
        <v>0</v>
      </c>
      <c r="Q54" s="5" t="e">
        <f t="shared" si="4"/>
        <v>#DIV/0!</v>
      </c>
      <c r="R54" s="32" t="e">
        <f t="shared" si="5"/>
        <v>#DIV/0!</v>
      </c>
      <c r="S54" s="32" t="e">
        <f t="shared" ref="S54:S67" si="6">L54+N54+P54+R54</f>
        <v>#DIV/0!</v>
      </c>
    </row>
    <row r="55" spans="2:19" x14ac:dyDescent="0.25">
      <c r="C55" t="s">
        <v>73</v>
      </c>
      <c r="D55" t="s">
        <v>48</v>
      </c>
      <c r="E55" s="25"/>
      <c r="F55" t="s">
        <v>40</v>
      </c>
      <c r="G55" s="31"/>
      <c r="H55" t="s">
        <v>19</v>
      </c>
      <c r="K55" s="31"/>
      <c r="L55" s="32">
        <f t="shared" si="0"/>
        <v>0</v>
      </c>
      <c r="M55" s="5" t="e">
        <f t="shared" si="1"/>
        <v>#DIV/0!</v>
      </c>
      <c r="N55" s="32" t="e">
        <f t="shared" si="2"/>
        <v>#DIV/0!</v>
      </c>
      <c r="O55" s="26"/>
      <c r="P55" s="32">
        <f t="shared" si="3"/>
        <v>0</v>
      </c>
      <c r="Q55" s="5" t="e">
        <f t="shared" si="4"/>
        <v>#DIV/0!</v>
      </c>
      <c r="R55" s="32" t="e">
        <f t="shared" si="5"/>
        <v>#DIV/0!</v>
      </c>
      <c r="S55" s="32" t="e">
        <f t="shared" si="6"/>
        <v>#DIV/0!</v>
      </c>
    </row>
    <row r="56" spans="2:19" x14ac:dyDescent="0.25">
      <c r="C56" t="s">
        <v>74</v>
      </c>
      <c r="D56" t="s">
        <v>48</v>
      </c>
      <c r="E56" s="25"/>
      <c r="F56" t="s">
        <v>40</v>
      </c>
      <c r="G56" s="31"/>
      <c r="H56" t="s">
        <v>19</v>
      </c>
      <c r="K56" s="31"/>
      <c r="L56" s="32">
        <f t="shared" si="0"/>
        <v>0</v>
      </c>
      <c r="M56" s="5" t="e">
        <f t="shared" si="1"/>
        <v>#DIV/0!</v>
      </c>
      <c r="N56" s="32" t="e">
        <f t="shared" si="2"/>
        <v>#DIV/0!</v>
      </c>
      <c r="O56" s="26"/>
      <c r="P56" s="32">
        <f t="shared" si="3"/>
        <v>0</v>
      </c>
      <c r="Q56" s="5" t="e">
        <f t="shared" si="4"/>
        <v>#DIV/0!</v>
      </c>
      <c r="R56" s="32" t="e">
        <f t="shared" si="5"/>
        <v>#DIV/0!</v>
      </c>
      <c r="S56" s="32" t="e">
        <f t="shared" si="6"/>
        <v>#DIV/0!</v>
      </c>
    </row>
    <row r="57" spans="2:19" x14ac:dyDescent="0.25">
      <c r="C57" t="s">
        <v>75</v>
      </c>
      <c r="D57" t="s">
        <v>48</v>
      </c>
      <c r="E57" s="25"/>
      <c r="F57" t="s">
        <v>40</v>
      </c>
      <c r="G57" s="31"/>
      <c r="H57" t="s">
        <v>19</v>
      </c>
      <c r="K57" s="31"/>
      <c r="L57" s="32">
        <f t="shared" si="0"/>
        <v>0</v>
      </c>
      <c r="M57" s="5" t="e">
        <f t="shared" si="1"/>
        <v>#DIV/0!</v>
      </c>
      <c r="N57" s="32" t="e">
        <f t="shared" si="2"/>
        <v>#DIV/0!</v>
      </c>
      <c r="O57" s="26"/>
      <c r="P57" s="32">
        <f t="shared" si="3"/>
        <v>0</v>
      </c>
      <c r="Q57" s="5" t="e">
        <f t="shared" si="4"/>
        <v>#DIV/0!</v>
      </c>
      <c r="R57" s="32" t="e">
        <f t="shared" si="5"/>
        <v>#DIV/0!</v>
      </c>
      <c r="S57" s="32" t="e">
        <f t="shared" si="6"/>
        <v>#DIV/0!</v>
      </c>
    </row>
    <row r="58" spans="2:19" x14ac:dyDescent="0.25">
      <c r="C58" t="s">
        <v>76</v>
      </c>
      <c r="D58" t="s">
        <v>48</v>
      </c>
      <c r="E58" s="25"/>
      <c r="F58" t="s">
        <v>40</v>
      </c>
      <c r="G58" s="31"/>
      <c r="H58" t="s">
        <v>19</v>
      </c>
      <c r="K58" s="31"/>
      <c r="L58" s="32">
        <f t="shared" si="0"/>
        <v>0</v>
      </c>
      <c r="M58" s="5" t="e">
        <f t="shared" si="1"/>
        <v>#DIV/0!</v>
      </c>
      <c r="N58" s="32" t="e">
        <f t="shared" si="2"/>
        <v>#DIV/0!</v>
      </c>
      <c r="O58" s="26"/>
      <c r="P58" s="32">
        <f t="shared" si="3"/>
        <v>0</v>
      </c>
      <c r="Q58" s="5" t="e">
        <f t="shared" si="4"/>
        <v>#DIV/0!</v>
      </c>
      <c r="R58" s="32" t="e">
        <f t="shared" si="5"/>
        <v>#DIV/0!</v>
      </c>
      <c r="S58" s="32" t="e">
        <f t="shared" si="6"/>
        <v>#DIV/0!</v>
      </c>
    </row>
    <row r="59" spans="2:19" x14ac:dyDescent="0.25">
      <c r="C59" t="s">
        <v>77</v>
      </c>
      <c r="D59" t="s">
        <v>48</v>
      </c>
      <c r="E59" s="25"/>
      <c r="F59" t="s">
        <v>40</v>
      </c>
      <c r="G59" s="31"/>
      <c r="H59" t="s">
        <v>19</v>
      </c>
      <c r="K59" s="31"/>
      <c r="L59" s="32">
        <f t="shared" si="0"/>
        <v>0</v>
      </c>
      <c r="M59" s="5" t="e">
        <f t="shared" si="1"/>
        <v>#DIV/0!</v>
      </c>
      <c r="N59" s="32" t="e">
        <f t="shared" si="2"/>
        <v>#DIV/0!</v>
      </c>
      <c r="O59" s="26"/>
      <c r="P59" s="32">
        <f t="shared" si="3"/>
        <v>0</v>
      </c>
      <c r="Q59" s="5" t="e">
        <f t="shared" si="4"/>
        <v>#DIV/0!</v>
      </c>
      <c r="R59" s="32" t="e">
        <f t="shared" si="5"/>
        <v>#DIV/0!</v>
      </c>
      <c r="S59" s="32" t="e">
        <f t="shared" si="6"/>
        <v>#DIV/0!</v>
      </c>
    </row>
    <row r="60" spans="2:19" x14ac:dyDescent="0.25">
      <c r="C60" t="s">
        <v>78</v>
      </c>
      <c r="D60" t="s">
        <v>48</v>
      </c>
      <c r="E60" s="25"/>
      <c r="F60" t="s">
        <v>40</v>
      </c>
      <c r="G60" s="31"/>
      <c r="H60" t="s">
        <v>19</v>
      </c>
      <c r="K60" s="31"/>
      <c r="L60" s="32">
        <f t="shared" si="0"/>
        <v>0</v>
      </c>
      <c r="M60" s="5" t="e">
        <f t="shared" si="1"/>
        <v>#DIV/0!</v>
      </c>
      <c r="N60" s="32" t="e">
        <f t="shared" si="2"/>
        <v>#DIV/0!</v>
      </c>
      <c r="O60" s="26"/>
      <c r="P60" s="32">
        <f t="shared" si="3"/>
        <v>0</v>
      </c>
      <c r="Q60" s="5" t="e">
        <f t="shared" si="4"/>
        <v>#DIV/0!</v>
      </c>
      <c r="R60" s="32" t="e">
        <f t="shared" si="5"/>
        <v>#DIV/0!</v>
      </c>
      <c r="S60" s="32" t="e">
        <f t="shared" si="6"/>
        <v>#DIV/0!</v>
      </c>
    </row>
    <row r="61" spans="2:19" x14ac:dyDescent="0.25">
      <c r="C61" t="s">
        <v>79</v>
      </c>
      <c r="D61" t="s">
        <v>48</v>
      </c>
      <c r="E61" s="25"/>
      <c r="F61" t="s">
        <v>40</v>
      </c>
      <c r="G61" s="31"/>
      <c r="H61" t="s">
        <v>19</v>
      </c>
      <c r="K61" s="31"/>
      <c r="L61" s="32">
        <f t="shared" si="0"/>
        <v>0</v>
      </c>
      <c r="M61" s="5" t="e">
        <f t="shared" si="1"/>
        <v>#DIV/0!</v>
      </c>
      <c r="N61" s="32" t="e">
        <f t="shared" si="2"/>
        <v>#DIV/0!</v>
      </c>
      <c r="O61" s="26"/>
      <c r="P61" s="32">
        <f t="shared" si="3"/>
        <v>0</v>
      </c>
      <c r="Q61" s="5" t="e">
        <f t="shared" si="4"/>
        <v>#DIV/0!</v>
      </c>
      <c r="R61" s="32" t="e">
        <f t="shared" si="5"/>
        <v>#DIV/0!</v>
      </c>
      <c r="S61" s="32" t="e">
        <f t="shared" si="6"/>
        <v>#DIV/0!</v>
      </c>
    </row>
    <row r="62" spans="2:19" x14ac:dyDescent="0.25">
      <c r="C62" t="s">
        <v>80</v>
      </c>
      <c r="D62" t="s">
        <v>48</v>
      </c>
      <c r="E62" s="25"/>
      <c r="F62" t="s">
        <v>40</v>
      </c>
      <c r="G62" s="31"/>
      <c r="H62" t="s">
        <v>19</v>
      </c>
      <c r="K62" s="31"/>
      <c r="L62" s="32">
        <f t="shared" si="0"/>
        <v>0</v>
      </c>
      <c r="M62" s="5" t="e">
        <f t="shared" si="1"/>
        <v>#DIV/0!</v>
      </c>
      <c r="N62" s="32" t="e">
        <f t="shared" si="2"/>
        <v>#DIV/0!</v>
      </c>
      <c r="O62" s="26"/>
      <c r="P62" s="32">
        <f t="shared" si="3"/>
        <v>0</v>
      </c>
      <c r="Q62" s="5" t="e">
        <f t="shared" si="4"/>
        <v>#DIV/0!</v>
      </c>
      <c r="R62" s="32" t="e">
        <f t="shared" si="5"/>
        <v>#DIV/0!</v>
      </c>
      <c r="S62" s="32" t="e">
        <f t="shared" si="6"/>
        <v>#DIV/0!</v>
      </c>
    </row>
    <row r="63" spans="2:19" x14ac:dyDescent="0.25">
      <c r="C63" t="s">
        <v>81</v>
      </c>
      <c r="D63" t="s">
        <v>48</v>
      </c>
      <c r="E63" s="25"/>
      <c r="F63" t="s">
        <v>40</v>
      </c>
      <c r="G63" s="31"/>
      <c r="H63" t="s">
        <v>19</v>
      </c>
      <c r="K63" s="31"/>
      <c r="L63" s="32">
        <f t="shared" si="0"/>
        <v>0</v>
      </c>
      <c r="M63" s="5" t="e">
        <f t="shared" si="1"/>
        <v>#DIV/0!</v>
      </c>
      <c r="N63" s="32" t="e">
        <f t="shared" si="2"/>
        <v>#DIV/0!</v>
      </c>
      <c r="O63" s="26"/>
      <c r="P63" s="32">
        <f t="shared" si="3"/>
        <v>0</v>
      </c>
      <c r="Q63" s="5" t="e">
        <f t="shared" si="4"/>
        <v>#DIV/0!</v>
      </c>
      <c r="R63" s="32" t="e">
        <f t="shared" si="5"/>
        <v>#DIV/0!</v>
      </c>
      <c r="S63" s="32" t="e">
        <f t="shared" si="6"/>
        <v>#DIV/0!</v>
      </c>
    </row>
    <row r="64" spans="2:19" x14ac:dyDescent="0.25">
      <c r="C64" t="s">
        <v>82</v>
      </c>
      <c r="D64" t="s">
        <v>48</v>
      </c>
      <c r="E64" s="25"/>
      <c r="F64" t="s">
        <v>40</v>
      </c>
      <c r="G64" s="31"/>
      <c r="H64" t="s">
        <v>19</v>
      </c>
      <c r="K64" s="31"/>
      <c r="L64" s="32">
        <f t="shared" si="0"/>
        <v>0</v>
      </c>
      <c r="M64" s="5" t="e">
        <f t="shared" si="1"/>
        <v>#DIV/0!</v>
      </c>
      <c r="N64" s="32" t="e">
        <f t="shared" si="2"/>
        <v>#DIV/0!</v>
      </c>
      <c r="O64" s="26"/>
      <c r="P64" s="32">
        <f t="shared" si="3"/>
        <v>0</v>
      </c>
      <c r="Q64" s="5" t="e">
        <f t="shared" si="4"/>
        <v>#DIV/0!</v>
      </c>
      <c r="R64" s="32" t="e">
        <f t="shared" si="5"/>
        <v>#DIV/0!</v>
      </c>
      <c r="S64" s="32" t="e">
        <f t="shared" si="6"/>
        <v>#DIV/0!</v>
      </c>
    </row>
    <row r="65" spans="2:25" x14ac:dyDescent="0.25">
      <c r="C65" t="s">
        <v>83</v>
      </c>
      <c r="D65" t="s">
        <v>48</v>
      </c>
      <c r="E65" s="25"/>
      <c r="F65" t="s">
        <v>40</v>
      </c>
      <c r="G65" s="31"/>
      <c r="H65" t="s">
        <v>19</v>
      </c>
      <c r="K65" s="31"/>
      <c r="L65" s="32">
        <f t="shared" si="0"/>
        <v>0</v>
      </c>
      <c r="M65" s="5" t="e">
        <f t="shared" si="1"/>
        <v>#DIV/0!</v>
      </c>
      <c r="N65" s="32" t="e">
        <f t="shared" si="2"/>
        <v>#DIV/0!</v>
      </c>
      <c r="O65" s="26"/>
      <c r="P65" s="32">
        <f t="shared" si="3"/>
        <v>0</v>
      </c>
      <c r="Q65" s="5" t="e">
        <f t="shared" si="4"/>
        <v>#DIV/0!</v>
      </c>
      <c r="R65" s="32" t="e">
        <f t="shared" si="5"/>
        <v>#DIV/0!</v>
      </c>
      <c r="S65" s="32" t="e">
        <f t="shared" si="6"/>
        <v>#DIV/0!</v>
      </c>
    </row>
    <row r="66" spans="2:25" x14ac:dyDescent="0.25">
      <c r="C66" t="s">
        <v>84</v>
      </c>
      <c r="D66" t="s">
        <v>48</v>
      </c>
      <c r="E66" s="25"/>
      <c r="F66" t="s">
        <v>40</v>
      </c>
      <c r="G66" s="31"/>
      <c r="H66" t="s">
        <v>19</v>
      </c>
      <c r="K66" s="31"/>
      <c r="L66" s="32">
        <f t="shared" si="0"/>
        <v>0</v>
      </c>
      <c r="M66" s="5" t="e">
        <f t="shared" si="1"/>
        <v>#DIV/0!</v>
      </c>
      <c r="N66" s="32" t="e">
        <f t="shared" si="2"/>
        <v>#DIV/0!</v>
      </c>
      <c r="O66" s="26"/>
      <c r="P66" s="32">
        <f t="shared" si="3"/>
        <v>0</v>
      </c>
      <c r="Q66" s="5" t="e">
        <f t="shared" si="4"/>
        <v>#DIV/0!</v>
      </c>
      <c r="R66" s="32" t="e">
        <f t="shared" si="5"/>
        <v>#DIV/0!</v>
      </c>
      <c r="S66" s="32" t="e">
        <f t="shared" si="6"/>
        <v>#DIV/0!</v>
      </c>
    </row>
    <row r="67" spans="2:25" x14ac:dyDescent="0.25">
      <c r="C67" t="s">
        <v>85</v>
      </c>
      <c r="D67" t="s">
        <v>48</v>
      </c>
      <c r="E67" s="25"/>
      <c r="F67" t="s">
        <v>40</v>
      </c>
      <c r="G67" s="31"/>
      <c r="H67" t="s">
        <v>19</v>
      </c>
      <c r="K67" s="31"/>
      <c r="L67" s="32">
        <f t="shared" si="0"/>
        <v>0</v>
      </c>
      <c r="M67" s="5" t="e">
        <f t="shared" si="1"/>
        <v>#DIV/0!</v>
      </c>
      <c r="N67" s="32" t="e">
        <f t="shared" si="2"/>
        <v>#DIV/0!</v>
      </c>
      <c r="O67" s="26"/>
      <c r="P67" s="32">
        <f t="shared" si="3"/>
        <v>0</v>
      </c>
      <c r="Q67" s="5" t="e">
        <f t="shared" si="4"/>
        <v>#DIV/0!</v>
      </c>
      <c r="R67" s="32" t="e">
        <f t="shared" si="5"/>
        <v>#DIV/0!</v>
      </c>
      <c r="S67" s="32" t="e">
        <f t="shared" si="6"/>
        <v>#DIV/0!</v>
      </c>
    </row>
    <row r="68" spans="2:25" x14ac:dyDescent="0.25">
      <c r="B68" t="s">
        <v>105</v>
      </c>
      <c r="E68" s="33" t="e">
        <f>INDEX(LINEST($G$53:$G$61, $E$53:$E$61^TRANSPOSE({1;2;3})),1)</f>
        <v>#VALUE!</v>
      </c>
      <c r="F68" s="33" t="e">
        <f>INDEX(LINEST($G$53:$G$61, $E$53:$E$61^TRANSPOSE({1;2;3})),1,2)</f>
        <v>#VALUE!</v>
      </c>
      <c r="G68" s="33" t="e">
        <f>INDEX(LINEST($G$53:$G$61, $E$53:$E$61^TRANSPOSE({1;2;3})),1,3)</f>
        <v>#VALUE!</v>
      </c>
      <c r="H68" s="33" t="e">
        <f>INDEX(LINEST($G$53:$G$61, $E$53:$E$61^TRANSPOSE({1;2;3})),1,4)</f>
        <v>#VALUE!</v>
      </c>
      <c r="I68" t="s">
        <v>106</v>
      </c>
      <c r="K68" s="33" t="e">
        <f>INDEX(LINEST($S$53:$S$61, $E$53:$E$61^TRANSPOSE({1;2;3})),1)</f>
        <v>#VALUE!</v>
      </c>
      <c r="L68" s="33" t="e">
        <f>INDEX(LINEST($S$53:$S$61, $E$53:$E$61^TRANSPOSE({1;2;3})),1,2)</f>
        <v>#VALUE!</v>
      </c>
      <c r="M68" s="33" t="e">
        <f>INDEX(LINEST($S$53:$S$61, $E$53:$E$61^TRANSPOSE({1;2;3})),1,3)</f>
        <v>#VALUE!</v>
      </c>
      <c r="N68" s="33" t="e">
        <f>INDEX(LINEST($S$53:$S$61, $E$53:$E$61^TRANSPOSE({1;2;3})),1,4)</f>
        <v>#VALUE!</v>
      </c>
    </row>
    <row r="70" spans="2:25" ht="33.75" x14ac:dyDescent="0.5">
      <c r="B70" s="1" t="s">
        <v>87</v>
      </c>
      <c r="K70">
        <v>11</v>
      </c>
      <c r="L70">
        <v>12</v>
      </c>
      <c r="M70">
        <v>13</v>
      </c>
      <c r="N70">
        <v>14</v>
      </c>
      <c r="O70">
        <v>15</v>
      </c>
      <c r="P70">
        <v>16</v>
      </c>
      <c r="Q70">
        <v>17</v>
      </c>
      <c r="R70">
        <v>18</v>
      </c>
      <c r="S70">
        <v>19</v>
      </c>
      <c r="T70">
        <v>20</v>
      </c>
      <c r="U70">
        <v>21</v>
      </c>
      <c r="V70">
        <v>22</v>
      </c>
      <c r="W70">
        <v>23</v>
      </c>
      <c r="X70">
        <v>24</v>
      </c>
      <c r="Y70">
        <v>25</v>
      </c>
    </row>
    <row r="71" spans="2:25" x14ac:dyDescent="0.25">
      <c r="B71" t="s">
        <v>89</v>
      </c>
      <c r="C71" s="2" t="s">
        <v>90</v>
      </c>
      <c r="D71" t="s">
        <v>23</v>
      </c>
      <c r="E71" s="6"/>
      <c r="F71" t="s">
        <v>91</v>
      </c>
      <c r="I71" s="41" t="s">
        <v>101</v>
      </c>
      <c r="J71" t="s">
        <v>102</v>
      </c>
      <c r="K71" s="5" t="e">
        <f>E76</f>
        <v>#DIV/0!</v>
      </c>
      <c r="L71" s="5" t="e">
        <f>K71+$E$77</f>
        <v>#DIV/0!</v>
      </c>
      <c r="M71" s="5" t="e">
        <f>L71+$E$77</f>
        <v>#DIV/0!</v>
      </c>
      <c r="N71" s="5" t="e">
        <f t="shared" ref="N71:R71" si="7">M71+$E$77</f>
        <v>#DIV/0!</v>
      </c>
      <c r="O71" s="5" t="e">
        <f t="shared" si="7"/>
        <v>#DIV/0!</v>
      </c>
      <c r="P71" s="5" t="e">
        <f t="shared" si="7"/>
        <v>#DIV/0!</v>
      </c>
      <c r="Q71" s="5" t="e">
        <f t="shared" si="7"/>
        <v>#DIV/0!</v>
      </c>
      <c r="R71" s="5" t="e">
        <f t="shared" si="7"/>
        <v>#DIV/0!</v>
      </c>
      <c r="S71" s="5" t="e">
        <f>R71+$E$77</f>
        <v>#DIV/0!</v>
      </c>
      <c r="T71" s="5" t="e">
        <f t="shared" ref="T71:U71" si="8">S71+$E$77</f>
        <v>#DIV/0!</v>
      </c>
      <c r="U71" s="5" t="e">
        <f t="shared" si="8"/>
        <v>#DIV/0!</v>
      </c>
      <c r="V71" s="5" t="e">
        <f t="shared" ref="V71:Y71" si="9">U71+$E$77</f>
        <v>#DIV/0!</v>
      </c>
      <c r="W71" s="5" t="e">
        <f t="shared" si="9"/>
        <v>#DIV/0!</v>
      </c>
      <c r="X71" s="5" t="e">
        <f t="shared" si="9"/>
        <v>#DIV/0!</v>
      </c>
      <c r="Y71" s="5" t="e">
        <f t="shared" si="9"/>
        <v>#DIV/0!</v>
      </c>
    </row>
    <row r="72" spans="2:25" x14ac:dyDescent="0.25">
      <c r="B72" t="s">
        <v>88</v>
      </c>
      <c r="C72" s="2" t="s">
        <v>92</v>
      </c>
      <c r="D72" t="s">
        <v>23</v>
      </c>
      <c r="E72" s="9">
        <f>(G21/1000)*G15/4</f>
        <v>0</v>
      </c>
      <c r="F72" t="s">
        <v>93</v>
      </c>
      <c r="I72" s="41"/>
      <c r="J72" t="s">
        <v>104</v>
      </c>
      <c r="K72" s="5" t="e">
        <f>$E$14-K71</f>
        <v>#DIV/0!</v>
      </c>
      <c r="L72" s="5" t="e">
        <f>$E$14-L71</f>
        <v>#DIV/0!</v>
      </c>
      <c r="M72" s="5" t="e">
        <f>$E$14-M71</f>
        <v>#DIV/0!</v>
      </c>
      <c r="N72" s="5" t="e">
        <f t="shared" ref="N72:R72" si="10">$E$14-N71</f>
        <v>#DIV/0!</v>
      </c>
      <c r="O72" s="5" t="e">
        <f t="shared" si="10"/>
        <v>#DIV/0!</v>
      </c>
      <c r="P72" s="5" t="e">
        <f t="shared" si="10"/>
        <v>#DIV/0!</v>
      </c>
      <c r="Q72" s="5" t="e">
        <f t="shared" si="10"/>
        <v>#DIV/0!</v>
      </c>
      <c r="R72" s="5" t="e">
        <f t="shared" si="10"/>
        <v>#DIV/0!</v>
      </c>
      <c r="S72" s="5" t="e">
        <f>$E$14-S71</f>
        <v>#DIV/0!</v>
      </c>
      <c r="T72" s="5" t="e">
        <f t="shared" ref="T72" si="11">$E$14-T71</f>
        <v>#DIV/0!</v>
      </c>
      <c r="U72" s="5" t="e">
        <f t="shared" ref="U72" si="12">$E$14-U71</f>
        <v>#DIV/0!</v>
      </c>
      <c r="V72" s="5" t="e">
        <f t="shared" ref="V72" si="13">$E$14-V71</f>
        <v>#DIV/0!</v>
      </c>
      <c r="W72" s="5" t="e">
        <f t="shared" ref="W72:X72" si="14">$E$14-W71</f>
        <v>#DIV/0!</v>
      </c>
      <c r="X72" s="5" t="e">
        <f t="shared" si="14"/>
        <v>#DIV/0!</v>
      </c>
      <c r="Y72" s="5" t="e">
        <f t="shared" ref="Y72" si="15">$E$14-Y71</f>
        <v>#DIV/0!</v>
      </c>
    </row>
    <row r="73" spans="2:25" x14ac:dyDescent="0.25">
      <c r="B73" t="s">
        <v>94</v>
      </c>
      <c r="C73" s="2" t="s">
        <v>95</v>
      </c>
      <c r="D73" t="s">
        <v>23</v>
      </c>
      <c r="E73" s="9" t="e">
        <f>E72/E71</f>
        <v>#DIV/0!</v>
      </c>
      <c r="F73" t="s">
        <v>19</v>
      </c>
      <c r="J73" t="s">
        <v>113</v>
      </c>
      <c r="K73" s="5" t="e">
        <f>K72+$N$68</f>
        <v>#DIV/0!</v>
      </c>
      <c r="L73" s="5" t="e">
        <f>L72+$N$68</f>
        <v>#DIV/0!</v>
      </c>
      <c r="M73" s="5" t="e">
        <f>M72+$N$68</f>
        <v>#DIV/0!</v>
      </c>
      <c r="N73" s="5" t="e">
        <f t="shared" ref="N73:R73" si="16">N72+$N$68</f>
        <v>#DIV/0!</v>
      </c>
      <c r="O73" s="5" t="e">
        <f t="shared" si="16"/>
        <v>#DIV/0!</v>
      </c>
      <c r="P73" s="5" t="e">
        <f t="shared" si="16"/>
        <v>#DIV/0!</v>
      </c>
      <c r="Q73" s="5" t="e">
        <f t="shared" si="16"/>
        <v>#DIV/0!</v>
      </c>
      <c r="R73" s="5" t="e">
        <f t="shared" si="16"/>
        <v>#DIV/0!</v>
      </c>
      <c r="S73" s="5" t="e">
        <f>S72+$N$68</f>
        <v>#DIV/0!</v>
      </c>
      <c r="T73" s="5" t="e">
        <f t="shared" ref="T73" si="17">T72+$N$68</f>
        <v>#DIV/0!</v>
      </c>
      <c r="U73" s="5" t="e">
        <f t="shared" ref="U73" si="18">U72+$N$68</f>
        <v>#DIV/0!</v>
      </c>
      <c r="V73" s="5" t="e">
        <f t="shared" ref="V73" si="19">V72+$N$68</f>
        <v>#DIV/0!</v>
      </c>
      <c r="W73" s="5" t="e">
        <f t="shared" ref="W73:X73" si="20">W72+$N$68</f>
        <v>#DIV/0!</v>
      </c>
      <c r="X73" s="5" t="e">
        <f t="shared" si="20"/>
        <v>#DIV/0!</v>
      </c>
      <c r="Y73" s="5" t="e">
        <f t="shared" ref="Y73" si="21">Y72+$N$68</f>
        <v>#DIV/0!</v>
      </c>
    </row>
    <row r="74" spans="2:25" x14ac:dyDescent="0.25">
      <c r="B74" t="s">
        <v>96</v>
      </c>
      <c r="C74" s="2" t="s">
        <v>65</v>
      </c>
      <c r="D74" t="s">
        <v>23</v>
      </c>
      <c r="E74" s="9" t="e">
        <f>E24-E73</f>
        <v>#DIV/0!</v>
      </c>
      <c r="F74" t="s">
        <v>4</v>
      </c>
      <c r="J74" t="s">
        <v>114</v>
      </c>
      <c r="K74" s="32" t="e">
        <f>-$E$68-$K$68</f>
        <v>#VALUE!</v>
      </c>
      <c r="L74" s="32" t="e">
        <f>-$E$68-$K$68</f>
        <v>#VALUE!</v>
      </c>
      <c r="M74" s="32" t="e">
        <f>-$E$68-$K$68</f>
        <v>#VALUE!</v>
      </c>
      <c r="N74" s="32" t="e">
        <f t="shared" ref="N74:Y74" si="22">-$E$68-$K$68</f>
        <v>#VALUE!</v>
      </c>
      <c r="O74" s="32" t="e">
        <f t="shared" si="22"/>
        <v>#VALUE!</v>
      </c>
      <c r="P74" s="32" t="e">
        <f t="shared" si="22"/>
        <v>#VALUE!</v>
      </c>
      <c r="Q74" s="32" t="e">
        <f t="shared" si="22"/>
        <v>#VALUE!</v>
      </c>
      <c r="R74" s="32" t="e">
        <f t="shared" si="22"/>
        <v>#VALUE!</v>
      </c>
      <c r="S74" s="32" t="e">
        <f>-$E$68-$K$68</f>
        <v>#VALUE!</v>
      </c>
      <c r="T74" s="32" t="e">
        <f t="shared" si="22"/>
        <v>#VALUE!</v>
      </c>
      <c r="U74" s="32" t="e">
        <f t="shared" si="22"/>
        <v>#VALUE!</v>
      </c>
      <c r="V74" s="32" t="e">
        <f t="shared" si="22"/>
        <v>#VALUE!</v>
      </c>
      <c r="W74" s="32" t="e">
        <f t="shared" si="22"/>
        <v>#VALUE!</v>
      </c>
      <c r="X74" s="32" t="e">
        <f t="shared" si="22"/>
        <v>#VALUE!</v>
      </c>
      <c r="Y74" s="32" t="e">
        <f t="shared" si="22"/>
        <v>#VALUE!</v>
      </c>
    </row>
    <row r="75" spans="2:25" x14ac:dyDescent="0.25">
      <c r="B75" t="s">
        <v>97</v>
      </c>
      <c r="C75" s="2" t="s">
        <v>98</v>
      </c>
      <c r="D75" t="s">
        <v>23</v>
      </c>
      <c r="E75" s="27">
        <v>0.3</v>
      </c>
      <c r="F75" t="s">
        <v>19</v>
      </c>
      <c r="J75" t="s">
        <v>115</v>
      </c>
      <c r="K75" s="32" t="e">
        <f>$F$68-$L$68</f>
        <v>#VALUE!</v>
      </c>
      <c r="L75" s="32" t="e">
        <f>$F$68-$L$68</f>
        <v>#VALUE!</v>
      </c>
      <c r="M75" s="32" t="e">
        <f>$F$68-$L$68</f>
        <v>#VALUE!</v>
      </c>
      <c r="N75" s="32" t="e">
        <f t="shared" ref="N75:Y75" si="23">$F$68-$L$68</f>
        <v>#VALUE!</v>
      </c>
      <c r="O75" s="32" t="e">
        <f t="shared" si="23"/>
        <v>#VALUE!</v>
      </c>
      <c r="P75" s="32" t="e">
        <f t="shared" si="23"/>
        <v>#VALUE!</v>
      </c>
      <c r="Q75" s="32" t="e">
        <f t="shared" si="23"/>
        <v>#VALUE!</v>
      </c>
      <c r="R75" s="32" t="e">
        <f t="shared" si="23"/>
        <v>#VALUE!</v>
      </c>
      <c r="S75" s="32" t="e">
        <f>$F$68-$L$68</f>
        <v>#VALUE!</v>
      </c>
      <c r="T75" s="32" t="e">
        <f t="shared" si="23"/>
        <v>#VALUE!</v>
      </c>
      <c r="U75" s="32" t="e">
        <f t="shared" si="23"/>
        <v>#VALUE!</v>
      </c>
      <c r="V75" s="32" t="e">
        <f t="shared" si="23"/>
        <v>#VALUE!</v>
      </c>
      <c r="W75" s="32" t="e">
        <f t="shared" si="23"/>
        <v>#VALUE!</v>
      </c>
      <c r="X75" s="32" t="e">
        <f t="shared" si="23"/>
        <v>#VALUE!</v>
      </c>
      <c r="Y75" s="32" t="e">
        <f t="shared" si="23"/>
        <v>#VALUE!</v>
      </c>
    </row>
    <row r="76" spans="2:25" x14ac:dyDescent="0.25">
      <c r="B76" t="s">
        <v>99</v>
      </c>
      <c r="C76" s="2" t="s">
        <v>65</v>
      </c>
      <c r="D76" t="s">
        <v>23</v>
      </c>
      <c r="E76" s="9" t="e">
        <f>E74-E75</f>
        <v>#DIV/0!</v>
      </c>
      <c r="F76" t="s">
        <v>4</v>
      </c>
      <c r="J76" t="s">
        <v>116</v>
      </c>
      <c r="K76" s="32" t="e">
        <f>$G$68-$M$68</f>
        <v>#VALUE!</v>
      </c>
      <c r="L76" s="32" t="e">
        <f>$G$68-$M$68</f>
        <v>#VALUE!</v>
      </c>
      <c r="M76" s="32" t="e">
        <f>$G$68-$M$68</f>
        <v>#VALUE!</v>
      </c>
      <c r="N76" s="32" t="e">
        <f t="shared" ref="N76:Y76" si="24">$G$68-$M$68</f>
        <v>#VALUE!</v>
      </c>
      <c r="O76" s="32" t="e">
        <f t="shared" si="24"/>
        <v>#VALUE!</v>
      </c>
      <c r="P76" s="32" t="e">
        <f t="shared" si="24"/>
        <v>#VALUE!</v>
      </c>
      <c r="Q76" s="32" t="e">
        <f t="shared" si="24"/>
        <v>#VALUE!</v>
      </c>
      <c r="R76" s="32" t="e">
        <f t="shared" si="24"/>
        <v>#VALUE!</v>
      </c>
      <c r="S76" s="32" t="e">
        <f>$G$68-$M$68</f>
        <v>#VALUE!</v>
      </c>
      <c r="T76" s="32" t="e">
        <f t="shared" si="24"/>
        <v>#VALUE!</v>
      </c>
      <c r="U76" s="32" t="e">
        <f t="shared" si="24"/>
        <v>#VALUE!</v>
      </c>
      <c r="V76" s="32" t="e">
        <f t="shared" si="24"/>
        <v>#VALUE!</v>
      </c>
      <c r="W76" s="32" t="e">
        <f t="shared" si="24"/>
        <v>#VALUE!</v>
      </c>
      <c r="X76" s="32" t="e">
        <f t="shared" si="24"/>
        <v>#VALUE!</v>
      </c>
      <c r="Y76" s="32" t="e">
        <f t="shared" si="24"/>
        <v>#VALUE!</v>
      </c>
    </row>
    <row r="77" spans="2:25" x14ac:dyDescent="0.25">
      <c r="B77" s="4" t="s">
        <v>103</v>
      </c>
      <c r="C77" s="30" t="s">
        <v>54</v>
      </c>
      <c r="D77" t="s">
        <v>23</v>
      </c>
      <c r="E77" s="27">
        <v>0.1</v>
      </c>
      <c r="F77" t="s">
        <v>19</v>
      </c>
      <c r="J77" t="s">
        <v>117</v>
      </c>
      <c r="K77" s="32" t="e">
        <f>$H$68-K73</f>
        <v>#VALUE!</v>
      </c>
      <c r="L77" s="32" t="e">
        <f>$H$68-L73</f>
        <v>#VALUE!</v>
      </c>
      <c r="M77" s="32" t="e">
        <f>$H$68-M73</f>
        <v>#VALUE!</v>
      </c>
      <c r="N77" s="32" t="e">
        <f t="shared" ref="N77:R77" si="25">$H$68-N73</f>
        <v>#VALUE!</v>
      </c>
      <c r="O77" s="32" t="e">
        <f t="shared" si="25"/>
        <v>#VALUE!</v>
      </c>
      <c r="P77" s="32" t="e">
        <f t="shared" si="25"/>
        <v>#VALUE!</v>
      </c>
      <c r="Q77" s="32" t="e">
        <f t="shared" si="25"/>
        <v>#VALUE!</v>
      </c>
      <c r="R77" s="32" t="e">
        <f t="shared" si="25"/>
        <v>#VALUE!</v>
      </c>
      <c r="S77" s="32" t="e">
        <f>$H$68-S73</f>
        <v>#VALUE!</v>
      </c>
      <c r="T77" s="32" t="e">
        <f t="shared" ref="T77:U77" si="26">$H$68-T73</f>
        <v>#VALUE!</v>
      </c>
      <c r="U77" s="32" t="e">
        <f t="shared" si="26"/>
        <v>#VALUE!</v>
      </c>
      <c r="V77" s="32" t="e">
        <f t="shared" ref="V77:X77" si="27">$H$68-V73</f>
        <v>#VALUE!</v>
      </c>
      <c r="W77" s="32" t="e">
        <f t="shared" si="27"/>
        <v>#VALUE!</v>
      </c>
      <c r="X77" s="32" t="e">
        <f t="shared" si="27"/>
        <v>#VALUE!</v>
      </c>
      <c r="Y77" s="32" t="e">
        <f t="shared" ref="Y77" si="28">$H$68-Y73</f>
        <v>#VALUE!</v>
      </c>
    </row>
    <row r="78" spans="2:25" x14ac:dyDescent="0.25">
      <c r="J78" t="s">
        <v>119</v>
      </c>
      <c r="K78" s="32" t="e">
        <f>K74*POWER(K79, 3)+K75*POWER(K79, 2)+K76*K79+K77</f>
        <v>#VALUE!</v>
      </c>
      <c r="L78" s="32" t="e">
        <f>L74*POWER(L79, 3)+L75*POWER(L79, 2)+L76*L79+L77</f>
        <v>#VALUE!</v>
      </c>
      <c r="M78" s="32" t="e">
        <f>M74*POWER(M79, 3)+M75*POWER(M79, 2)+M76*M79+M77</f>
        <v>#VALUE!</v>
      </c>
      <c r="N78" s="32" t="e">
        <f t="shared" ref="N78:R78" si="29">N74*POWER(N79, 3)+N75*POWER(N79, 2)+N76*N79+N77</f>
        <v>#VALUE!</v>
      </c>
      <c r="O78" s="32" t="e">
        <f t="shared" si="29"/>
        <v>#VALUE!</v>
      </c>
      <c r="P78" s="32" t="e">
        <f t="shared" si="29"/>
        <v>#VALUE!</v>
      </c>
      <c r="Q78" s="32" t="e">
        <f t="shared" si="29"/>
        <v>#VALUE!</v>
      </c>
      <c r="R78" s="32" t="e">
        <f t="shared" si="29"/>
        <v>#VALUE!</v>
      </c>
      <c r="S78" s="32" t="e">
        <f>S74*POWER(S79, 3)+S75*POWER(S79, 2)+S76*S79+S77</f>
        <v>#VALUE!</v>
      </c>
      <c r="T78" s="32" t="e">
        <f t="shared" ref="T78" si="30">T74*POWER(T79, 3)+T75*POWER(T79, 2)+T76*T79+T77</f>
        <v>#VALUE!</v>
      </c>
      <c r="U78" s="32" t="e">
        <f t="shared" ref="U78" si="31">U74*POWER(U79, 3)+U75*POWER(U79, 2)+U76*U79+U77</f>
        <v>#VALUE!</v>
      </c>
      <c r="V78" s="32" t="e">
        <f t="shared" ref="V78" si="32">V74*POWER(V79, 3)+V75*POWER(V79, 2)+V76*V79+V77</f>
        <v>#VALUE!</v>
      </c>
      <c r="W78" s="32" t="e">
        <f t="shared" ref="W78:X78" si="33">W74*POWER(W79, 3)+W75*POWER(W79, 2)+W76*W79+W77</f>
        <v>#VALUE!</v>
      </c>
      <c r="X78" s="32" t="e">
        <f t="shared" si="33"/>
        <v>#VALUE!</v>
      </c>
      <c r="Y78" s="32" t="e">
        <f t="shared" ref="Y78" si="34">Y74*POWER(Y79, 3)+Y75*POWER(Y79, 2)+Y76*Y79+Y77</f>
        <v>#VALUE!</v>
      </c>
    </row>
    <row r="79" spans="2:25" x14ac:dyDescent="0.25">
      <c r="J79" t="s">
        <v>118</v>
      </c>
      <c r="K79" s="35">
        <v>103.39405412837604</v>
      </c>
      <c r="L79" s="35">
        <v>104.50109009639884</v>
      </c>
      <c r="M79" s="35">
        <v>105.61466559304485</v>
      </c>
      <c r="N79" s="35">
        <v>106.73505976310588</v>
      </c>
      <c r="O79" s="35">
        <v>107.86256539641094</v>
      </c>
      <c r="P79" s="35">
        <v>108.99749000276218</v>
      </c>
      <c r="Q79" s="35">
        <v>110.14015699354587</v>
      </c>
      <c r="R79" s="35">
        <v>111.29090698341908</v>
      </c>
      <c r="S79" s="35">
        <v>112.45009922749736</v>
      </c>
      <c r="T79" s="35">
        <v>113.61811321185738</v>
      </c>
      <c r="U79" s="35">
        <v>114.79535041799478</v>
      </c>
      <c r="V79" s="35">
        <v>115.98223628523452</v>
      </c>
      <c r="W79" s="35">
        <v>117.17922239909501</v>
      </c>
      <c r="X79" s="35">
        <v>118.38678893840159</v>
      </c>
      <c r="Y79" s="35">
        <v>119.60544741971346</v>
      </c>
    </row>
    <row r="80" spans="2:25" x14ac:dyDescent="0.25">
      <c r="J80" t="s">
        <v>120</v>
      </c>
      <c r="K80" s="5" t="e">
        <f>$E$68*POWER(K79, 3)+$F$68*POWER(K79, 2)+$G$68*K79+$H$68</f>
        <v>#VALUE!</v>
      </c>
      <c r="L80" s="5" t="e">
        <f>$E$68*POWER(L79, 3)+$F$68*POWER(L79, 2)+$G$68*L79+$H$68</f>
        <v>#VALUE!</v>
      </c>
      <c r="M80" s="5" t="e">
        <f>$E$68*POWER(M79, 3)+$F$68*POWER(M79, 2)+$G$68*M79+$H$68</f>
        <v>#VALUE!</v>
      </c>
      <c r="N80" s="5" t="e">
        <f t="shared" ref="N80:R80" si="35">$E$68*POWER(N79, 3)+$F$68*POWER(N79, 2)+$G$68*N79+$H$68</f>
        <v>#VALUE!</v>
      </c>
      <c r="O80" s="5" t="e">
        <f t="shared" si="35"/>
        <v>#VALUE!</v>
      </c>
      <c r="P80" s="5" t="e">
        <f t="shared" si="35"/>
        <v>#VALUE!</v>
      </c>
      <c r="Q80" s="5" t="e">
        <f t="shared" si="35"/>
        <v>#VALUE!</v>
      </c>
      <c r="R80" s="5" t="e">
        <f t="shared" si="35"/>
        <v>#VALUE!</v>
      </c>
      <c r="S80" s="5" t="e">
        <f>$E$68*POWER(S79, 3)+$F$68*POWER(S79, 2)+$G$68*S79+$H$68</f>
        <v>#VALUE!</v>
      </c>
      <c r="T80" s="5" t="e">
        <f t="shared" ref="T80" si="36">$E$68*POWER(T79, 3)+$F$68*POWER(T79, 2)+$G$68*T79+$H$68</f>
        <v>#VALUE!</v>
      </c>
      <c r="U80" s="5" t="e">
        <f t="shared" ref="U80" si="37">$E$68*POWER(U79, 3)+$F$68*POWER(U79, 2)+$G$68*U79+$H$68</f>
        <v>#VALUE!</v>
      </c>
      <c r="V80" s="5" t="e">
        <f t="shared" ref="V80" si="38">$E$68*POWER(V79, 3)+$F$68*POWER(V79, 2)+$G$68*V79+$H$68</f>
        <v>#VALUE!</v>
      </c>
      <c r="W80" s="5" t="e">
        <f t="shared" ref="W80:X80" si="39">$E$68*POWER(W79, 3)+$F$68*POWER(W79, 2)+$G$68*W79+$H$68</f>
        <v>#VALUE!</v>
      </c>
      <c r="X80" s="5" t="e">
        <f t="shared" si="39"/>
        <v>#VALUE!</v>
      </c>
      <c r="Y80" s="5" t="e">
        <f t="shared" ref="Y80" si="40">$E$68*POWER(Y79, 3)+$F$68*POWER(Y79, 2)+$G$68*Y79+$H$68</f>
        <v>#VALUE!</v>
      </c>
    </row>
    <row r="82" spans="10:25" x14ac:dyDescent="0.25">
      <c r="J82" t="s">
        <v>121</v>
      </c>
      <c r="K82" s="29"/>
      <c r="L82" s="5" t="e">
        <f>(L71-K71)*$E$71</f>
        <v>#DIV/0!</v>
      </c>
      <c r="M82" s="5" t="e">
        <f>(M71-L71)*$E$71</f>
        <v>#DIV/0!</v>
      </c>
      <c r="N82" s="5" t="e">
        <f>(N71-M71)*$E$71</f>
        <v>#DIV/0!</v>
      </c>
      <c r="O82" s="5" t="e">
        <f t="shared" ref="O82:X82" si="41">(O71-N71)*$E$71</f>
        <v>#DIV/0!</v>
      </c>
      <c r="P82" s="5" t="e">
        <f t="shared" si="41"/>
        <v>#DIV/0!</v>
      </c>
      <c r="Q82" s="5" t="e">
        <f t="shared" si="41"/>
        <v>#DIV/0!</v>
      </c>
      <c r="R82" s="5" t="e">
        <f t="shared" si="41"/>
        <v>#DIV/0!</v>
      </c>
      <c r="S82" s="5" t="e">
        <f t="shared" si="41"/>
        <v>#DIV/0!</v>
      </c>
      <c r="T82" s="5" t="e">
        <f t="shared" si="41"/>
        <v>#DIV/0!</v>
      </c>
      <c r="U82" s="5" t="e">
        <f t="shared" si="41"/>
        <v>#DIV/0!</v>
      </c>
      <c r="V82" s="5" t="e">
        <f t="shared" si="41"/>
        <v>#DIV/0!</v>
      </c>
      <c r="W82" s="5" t="e">
        <f t="shared" si="41"/>
        <v>#DIV/0!</v>
      </c>
      <c r="X82" s="5" t="e">
        <f t="shared" si="41"/>
        <v>#DIV/0!</v>
      </c>
      <c r="Y82" s="5" t="e">
        <f t="shared" ref="Y82" si="42">(Y71-X71)*$E$71</f>
        <v>#DIV/0!</v>
      </c>
    </row>
    <row r="83" spans="10:25" x14ac:dyDescent="0.25">
      <c r="J83" t="s">
        <v>122</v>
      </c>
      <c r="L83" s="38">
        <f>AVERAGEA(L79,K79)/3600</f>
        <v>2.8874325586774288E-2</v>
      </c>
      <c r="M83" s="38">
        <f>AVERAGEA(M79,L79)/3600</f>
        <v>2.9182743845756066E-2</v>
      </c>
      <c r="N83" s="38">
        <f>AVERAGEA(N79,M79)/3600</f>
        <v>2.9493017410576489E-2</v>
      </c>
      <c r="O83" s="38">
        <f t="shared" ref="O83:X83" si="43">AVERAGEA(O79,N79)/3600</f>
        <v>2.9805225716599562E-2</v>
      </c>
      <c r="P83" s="38">
        <f t="shared" si="43"/>
        <v>3.0119452138774046E-2</v>
      </c>
      <c r="Q83" s="38">
        <f t="shared" si="43"/>
        <v>3.0435784305042783E-2</v>
      </c>
      <c r="R83" s="38">
        <f t="shared" si="43"/>
        <v>3.0754314441245129E-2</v>
      </c>
      <c r="S83" s="38">
        <f t="shared" si="43"/>
        <v>3.1075139751516174E-2</v>
      </c>
      <c r="T83" s="38">
        <f t="shared" si="43"/>
        <v>3.1398362838799272E-2</v>
      </c>
      <c r="U83" s="38">
        <f t="shared" si="43"/>
        <v>3.1724092170812804E-2</v>
      </c>
      <c r="V83" s="38">
        <f t="shared" si="43"/>
        <v>3.205244259767074E-2</v>
      </c>
      <c r="W83" s="38">
        <f t="shared" si="43"/>
        <v>3.2383535928379101E-2</v>
      </c>
      <c r="X83" s="38">
        <f t="shared" si="43"/>
        <v>3.2717501574652308E-2</v>
      </c>
      <c r="Y83" s="38">
        <f t="shared" ref="Y83" si="44">AVERAGEA(Y79,X79)/3600</f>
        <v>3.3054477271960425E-2</v>
      </c>
    </row>
    <row r="84" spans="10:25" x14ac:dyDescent="0.25">
      <c r="J84" t="s">
        <v>123</v>
      </c>
      <c r="L84" s="5" t="e">
        <f>L82/L83</f>
        <v>#DIV/0!</v>
      </c>
      <c r="M84" s="5" t="e">
        <f t="shared" ref="M84:N84" si="45">M82/M83</f>
        <v>#DIV/0!</v>
      </c>
      <c r="N84" s="5" t="e">
        <f t="shared" si="45"/>
        <v>#DIV/0!</v>
      </c>
      <c r="O84" s="5" t="e">
        <f t="shared" ref="O84" si="46">O82/O83</f>
        <v>#DIV/0!</v>
      </c>
      <c r="P84" s="5" t="e">
        <f t="shared" ref="P84" si="47">P82/P83</f>
        <v>#DIV/0!</v>
      </c>
      <c r="Q84" s="5" t="e">
        <f t="shared" ref="Q84" si="48">Q82/Q83</f>
        <v>#DIV/0!</v>
      </c>
      <c r="R84" s="5" t="e">
        <f t="shared" ref="R84" si="49">R82/R83</f>
        <v>#DIV/0!</v>
      </c>
      <c r="S84" s="5" t="e">
        <f t="shared" ref="S84" si="50">S82/S83</f>
        <v>#DIV/0!</v>
      </c>
      <c r="T84" s="5" t="e">
        <f t="shared" ref="T84" si="51">T82/T83</f>
        <v>#DIV/0!</v>
      </c>
      <c r="U84" s="5" t="e">
        <f t="shared" ref="U84" si="52">U82/U83</f>
        <v>#DIV/0!</v>
      </c>
      <c r="V84" s="5" t="e">
        <f t="shared" ref="V84" si="53">V82/V83</f>
        <v>#DIV/0!</v>
      </c>
      <c r="W84" s="5" t="e">
        <f t="shared" ref="W84" si="54">W82/W83</f>
        <v>#DIV/0!</v>
      </c>
      <c r="X84" s="5" t="e">
        <f t="shared" ref="X84:Y84" si="55">X82/X83</f>
        <v>#DIV/0!</v>
      </c>
      <c r="Y84" s="5" t="e">
        <f t="shared" si="55"/>
        <v>#DIV/0!</v>
      </c>
    </row>
    <row r="85" spans="10:25" x14ac:dyDescent="0.25">
      <c r="J85" t="s">
        <v>125</v>
      </c>
      <c r="L85" s="5" t="e">
        <f>L82+K85</f>
        <v>#DIV/0!</v>
      </c>
      <c r="M85" s="5" t="e">
        <f t="shared" ref="M85:N85" si="56">M82+L85</f>
        <v>#DIV/0!</v>
      </c>
      <c r="N85" s="5" t="e">
        <f t="shared" si="56"/>
        <v>#DIV/0!</v>
      </c>
      <c r="O85" s="5" t="e">
        <f t="shared" ref="O85:X85" si="57">O82+N85</f>
        <v>#DIV/0!</v>
      </c>
      <c r="P85" s="5" t="e">
        <f t="shared" si="57"/>
        <v>#DIV/0!</v>
      </c>
      <c r="Q85" s="5" t="e">
        <f t="shared" si="57"/>
        <v>#DIV/0!</v>
      </c>
      <c r="R85" s="5" t="e">
        <f t="shared" si="57"/>
        <v>#DIV/0!</v>
      </c>
      <c r="S85" s="5" t="e">
        <f t="shared" si="57"/>
        <v>#DIV/0!</v>
      </c>
      <c r="T85" s="5" t="e">
        <f t="shared" si="57"/>
        <v>#DIV/0!</v>
      </c>
      <c r="U85" s="5" t="e">
        <f t="shared" si="57"/>
        <v>#DIV/0!</v>
      </c>
      <c r="V85" s="5" t="e">
        <f t="shared" si="57"/>
        <v>#DIV/0!</v>
      </c>
      <c r="W85" s="5" t="e">
        <f t="shared" si="57"/>
        <v>#DIV/0!</v>
      </c>
      <c r="X85" s="5" t="e">
        <f t="shared" si="57"/>
        <v>#DIV/0!</v>
      </c>
      <c r="Y85" s="5" t="e">
        <f t="shared" ref="Y85" si="58">Y82+X85</f>
        <v>#DIV/0!</v>
      </c>
    </row>
    <row r="86" spans="10:25" x14ac:dyDescent="0.25">
      <c r="J86" t="s">
        <v>124</v>
      </c>
      <c r="L86" s="5" t="e">
        <f>L84+K86</f>
        <v>#DIV/0!</v>
      </c>
      <c r="M86" s="5" t="e">
        <f t="shared" ref="M86:N86" si="59">M84+L86</f>
        <v>#DIV/0!</v>
      </c>
      <c r="N86" s="5" t="e">
        <f t="shared" si="59"/>
        <v>#DIV/0!</v>
      </c>
      <c r="O86" s="5" t="e">
        <f t="shared" ref="O86:X86" si="60">O84+N86</f>
        <v>#DIV/0!</v>
      </c>
      <c r="P86" s="5" t="e">
        <f t="shared" si="60"/>
        <v>#DIV/0!</v>
      </c>
      <c r="Q86" s="5" t="e">
        <f t="shared" si="60"/>
        <v>#DIV/0!</v>
      </c>
      <c r="R86" s="5" t="e">
        <f t="shared" si="60"/>
        <v>#DIV/0!</v>
      </c>
      <c r="S86" s="5" t="e">
        <f t="shared" si="60"/>
        <v>#DIV/0!</v>
      </c>
      <c r="T86" s="5" t="e">
        <f t="shared" si="60"/>
        <v>#DIV/0!</v>
      </c>
      <c r="U86" s="5" t="e">
        <f t="shared" si="60"/>
        <v>#DIV/0!</v>
      </c>
      <c r="V86" s="5" t="e">
        <f t="shared" si="60"/>
        <v>#DIV/0!</v>
      </c>
      <c r="W86" s="5" t="e">
        <f t="shared" si="60"/>
        <v>#DIV/0!</v>
      </c>
      <c r="X86" s="5" t="e">
        <f t="shared" si="60"/>
        <v>#DIV/0!</v>
      </c>
      <c r="Y86" s="5" t="e">
        <f t="shared" ref="Y86" si="61">Y84+X86</f>
        <v>#DIV/0!</v>
      </c>
    </row>
    <row r="87" spans="10:25" x14ac:dyDescent="0.25">
      <c r="J87" t="s">
        <v>126</v>
      </c>
      <c r="L87" s="5" t="e">
        <f>3600*L85/L86</f>
        <v>#DIV/0!</v>
      </c>
      <c r="M87" s="5" t="e">
        <f t="shared" ref="M87:N87" si="62">3600*M85/M86</f>
        <v>#DIV/0!</v>
      </c>
      <c r="N87" s="5" t="e">
        <f t="shared" si="62"/>
        <v>#DIV/0!</v>
      </c>
      <c r="O87" s="5" t="e">
        <f t="shared" ref="O87" si="63">3600*O85/O86</f>
        <v>#DIV/0!</v>
      </c>
      <c r="P87" s="5" t="e">
        <f t="shared" ref="P87" si="64">3600*P85/P86</f>
        <v>#DIV/0!</v>
      </c>
      <c r="Q87" s="5" t="e">
        <f t="shared" ref="Q87" si="65">3600*Q85/Q86</f>
        <v>#DIV/0!</v>
      </c>
      <c r="R87" s="5" t="e">
        <f t="shared" ref="R87" si="66">3600*R85/R86</f>
        <v>#DIV/0!</v>
      </c>
      <c r="S87" s="5" t="e">
        <f t="shared" ref="S87" si="67">3600*S85/S86</f>
        <v>#DIV/0!</v>
      </c>
      <c r="T87" s="5" t="e">
        <f t="shared" ref="T87" si="68">3600*T85/T86</f>
        <v>#DIV/0!</v>
      </c>
      <c r="U87" s="5" t="e">
        <f t="shared" ref="U87" si="69">3600*U85/U86</f>
        <v>#DIV/0!</v>
      </c>
      <c r="V87" s="5" t="e">
        <f t="shared" ref="V87" si="70">3600*V85/V86</f>
        <v>#DIV/0!</v>
      </c>
      <c r="W87" s="5" t="e">
        <f t="shared" ref="W87" si="71">3600*W85/W86</f>
        <v>#DIV/0!</v>
      </c>
      <c r="X87" s="5" t="e">
        <f t="shared" ref="X87:Y87" si="72">3600*X85/X86</f>
        <v>#DIV/0!</v>
      </c>
      <c r="Y87" s="5" t="e">
        <f t="shared" si="72"/>
        <v>#DIV/0!</v>
      </c>
    </row>
    <row r="88" spans="10:25" x14ac:dyDescent="0.25">
      <c r="J88" t="s">
        <v>129</v>
      </c>
      <c r="L88" s="5" t="e">
        <f>L87/2</f>
        <v>#DIV/0!</v>
      </c>
      <c r="M88" s="5" t="e">
        <f t="shared" ref="M88:N88" si="73">M87/2</f>
        <v>#DIV/0!</v>
      </c>
      <c r="N88" s="5" t="e">
        <f t="shared" si="73"/>
        <v>#DIV/0!</v>
      </c>
      <c r="O88" s="5" t="e">
        <f t="shared" ref="O88" si="74">O87/2</f>
        <v>#DIV/0!</v>
      </c>
      <c r="P88" s="5" t="e">
        <f t="shared" ref="P88" si="75">P87/2</f>
        <v>#DIV/0!</v>
      </c>
      <c r="Q88" s="5" t="e">
        <f t="shared" ref="Q88" si="76">Q87/2</f>
        <v>#DIV/0!</v>
      </c>
      <c r="R88" s="5" t="e">
        <f t="shared" ref="R88" si="77">R87/2</f>
        <v>#DIV/0!</v>
      </c>
      <c r="S88" s="5" t="e">
        <f t="shared" ref="S88" si="78">S87/2</f>
        <v>#DIV/0!</v>
      </c>
      <c r="T88" s="5" t="e">
        <f t="shared" ref="T88" si="79">T87/2</f>
        <v>#DIV/0!</v>
      </c>
      <c r="U88" s="5" t="e">
        <f t="shared" ref="U88" si="80">U87/2</f>
        <v>#DIV/0!</v>
      </c>
      <c r="V88" s="5" t="e">
        <f t="shared" ref="V88" si="81">V87/2</f>
        <v>#DIV/0!</v>
      </c>
      <c r="W88" s="5" t="e">
        <f t="shared" ref="W88" si="82">W87/2</f>
        <v>#DIV/0!</v>
      </c>
      <c r="X88" s="5" t="e">
        <f t="shared" ref="X88:Y88" si="83">X87/2</f>
        <v>#DIV/0!</v>
      </c>
      <c r="Y88" s="5" t="e">
        <f t="shared" si="83"/>
        <v>#DIV/0!</v>
      </c>
    </row>
    <row r="89" spans="10:25" x14ac:dyDescent="0.25">
      <c r="J89" t="s">
        <v>130</v>
      </c>
      <c r="L89" s="5" t="e">
        <f>L87-L88</f>
        <v>#DIV/0!</v>
      </c>
      <c r="M89" s="5" t="e">
        <f t="shared" ref="M89:N89" si="84">M87-M88</f>
        <v>#DIV/0!</v>
      </c>
      <c r="N89" s="5" t="e">
        <f t="shared" si="84"/>
        <v>#DIV/0!</v>
      </c>
      <c r="O89" s="5" t="e">
        <f t="shared" ref="O89" si="85">O87-O88</f>
        <v>#DIV/0!</v>
      </c>
      <c r="P89" s="5" t="e">
        <f t="shared" ref="P89" si="86">P87-P88</f>
        <v>#DIV/0!</v>
      </c>
      <c r="Q89" s="5" t="e">
        <f t="shared" ref="Q89" si="87">Q87-Q88</f>
        <v>#DIV/0!</v>
      </c>
      <c r="R89" s="5" t="e">
        <f t="shared" ref="R89" si="88">R87-R88</f>
        <v>#DIV/0!</v>
      </c>
      <c r="S89" s="5" t="e">
        <f t="shared" ref="S89" si="89">S87-S88</f>
        <v>#DIV/0!</v>
      </c>
      <c r="T89" s="5" t="e">
        <f t="shared" ref="T89" si="90">T87-T88</f>
        <v>#DIV/0!</v>
      </c>
      <c r="U89" s="5" t="e">
        <f t="shared" ref="U89" si="91">U87-U88</f>
        <v>#DIV/0!</v>
      </c>
      <c r="V89" s="5" t="e">
        <f t="shared" ref="V89" si="92">V87-V88</f>
        <v>#DIV/0!</v>
      </c>
      <c r="W89" s="5" t="e">
        <f t="shared" ref="W89" si="93">W87-W88</f>
        <v>#DIV/0!</v>
      </c>
      <c r="X89" s="5" t="e">
        <f t="shared" ref="X89:Y89" si="94">X87-X88</f>
        <v>#DIV/0!</v>
      </c>
      <c r="Y89" s="5" t="e">
        <f t="shared" si="94"/>
        <v>#DIV/0!</v>
      </c>
    </row>
    <row r="90" spans="10:25" x14ac:dyDescent="0.25">
      <c r="J90" t="s">
        <v>132</v>
      </c>
      <c r="L90" s="39" t="e">
        <f>L$85/(L88/3600)</f>
        <v>#DIV/0!</v>
      </c>
      <c r="M90" s="39" t="e">
        <f t="shared" ref="M90:N90" si="95">M$85/(M88/3600)</f>
        <v>#DIV/0!</v>
      </c>
      <c r="N90" s="39" t="e">
        <f t="shared" si="95"/>
        <v>#DIV/0!</v>
      </c>
      <c r="O90" s="39" t="e">
        <f t="shared" ref="O90:X90" si="96">O$85/(O88/3600)</f>
        <v>#DIV/0!</v>
      </c>
      <c r="P90" s="39" t="e">
        <f t="shared" si="96"/>
        <v>#DIV/0!</v>
      </c>
      <c r="Q90" s="39" t="e">
        <f t="shared" si="96"/>
        <v>#DIV/0!</v>
      </c>
      <c r="R90" s="39" t="e">
        <f t="shared" si="96"/>
        <v>#DIV/0!</v>
      </c>
      <c r="S90" s="39" t="e">
        <f t="shared" si="96"/>
        <v>#DIV/0!</v>
      </c>
      <c r="T90" s="39" t="e">
        <f t="shared" si="96"/>
        <v>#DIV/0!</v>
      </c>
      <c r="U90" s="39" t="e">
        <f t="shared" si="96"/>
        <v>#DIV/0!</v>
      </c>
      <c r="V90" s="39" t="e">
        <f t="shared" si="96"/>
        <v>#DIV/0!</v>
      </c>
      <c r="W90" s="39" t="e">
        <f t="shared" si="96"/>
        <v>#DIV/0!</v>
      </c>
      <c r="X90" s="39" t="e">
        <f t="shared" si="96"/>
        <v>#DIV/0!</v>
      </c>
      <c r="Y90" s="39" t="e">
        <f t="shared" ref="Y90" si="97">Y$85/(Y88/3600)</f>
        <v>#DIV/0!</v>
      </c>
    </row>
    <row r="91" spans="10:25" x14ac:dyDescent="0.25">
      <c r="J91" t="s">
        <v>133</v>
      </c>
      <c r="L91" s="39" t="e">
        <f>L$85/(L89/3600)</f>
        <v>#DIV/0!</v>
      </c>
      <c r="M91" s="39" t="e">
        <f t="shared" ref="M91:N91" si="98">M$85/(M89/3600)</f>
        <v>#DIV/0!</v>
      </c>
      <c r="N91" s="39" t="e">
        <f t="shared" si="98"/>
        <v>#DIV/0!</v>
      </c>
      <c r="O91" s="39" t="e">
        <f t="shared" ref="O91:X91" si="99">O$85/(O89/3600)</f>
        <v>#DIV/0!</v>
      </c>
      <c r="P91" s="39" t="e">
        <f t="shared" si="99"/>
        <v>#DIV/0!</v>
      </c>
      <c r="Q91" s="39" t="e">
        <f t="shared" si="99"/>
        <v>#DIV/0!</v>
      </c>
      <c r="R91" s="39" t="e">
        <f t="shared" si="99"/>
        <v>#DIV/0!</v>
      </c>
      <c r="S91" s="39" t="e">
        <f t="shared" si="99"/>
        <v>#DIV/0!</v>
      </c>
      <c r="T91" s="39" t="e">
        <f t="shared" si="99"/>
        <v>#DIV/0!</v>
      </c>
      <c r="U91" s="39" t="e">
        <f t="shared" si="99"/>
        <v>#DIV/0!</v>
      </c>
      <c r="V91" s="39" t="e">
        <f t="shared" si="99"/>
        <v>#DIV/0!</v>
      </c>
      <c r="W91" s="39" t="e">
        <f t="shared" si="99"/>
        <v>#DIV/0!</v>
      </c>
      <c r="X91" s="39" t="e">
        <f t="shared" si="99"/>
        <v>#DIV/0!</v>
      </c>
      <c r="Y91" s="39" t="e">
        <f t="shared" ref="Y91" si="100">Y$85/(Y89/3600)</f>
        <v>#DIV/0!</v>
      </c>
    </row>
    <row r="92" spans="10:25" x14ac:dyDescent="0.25">
      <c r="J92" t="s">
        <v>131</v>
      </c>
      <c r="L92" s="39" t="e">
        <f>L90+L91</f>
        <v>#DIV/0!</v>
      </c>
      <c r="M92" s="39" t="e">
        <f t="shared" ref="M92:N92" si="101">M90+M91</f>
        <v>#DIV/0!</v>
      </c>
      <c r="N92" s="39" t="e">
        <f t="shared" si="101"/>
        <v>#DIV/0!</v>
      </c>
      <c r="O92" s="39" t="e">
        <f t="shared" ref="O92" si="102">O90+O91</f>
        <v>#DIV/0!</v>
      </c>
      <c r="P92" s="39" t="e">
        <f t="shared" ref="P92" si="103">P90+P91</f>
        <v>#DIV/0!</v>
      </c>
      <c r="Q92" s="39" t="e">
        <f t="shared" ref="Q92" si="104">Q90+Q91</f>
        <v>#DIV/0!</v>
      </c>
      <c r="R92" s="39" t="e">
        <f t="shared" ref="R92" si="105">R90+R91</f>
        <v>#DIV/0!</v>
      </c>
      <c r="S92" s="39" t="e">
        <f t="shared" ref="S92" si="106">S90+S91</f>
        <v>#DIV/0!</v>
      </c>
      <c r="T92" s="39" t="e">
        <f t="shared" ref="T92" si="107">T90+T91</f>
        <v>#DIV/0!</v>
      </c>
      <c r="U92" s="39" t="e">
        <f t="shared" ref="U92" si="108">U90+U91</f>
        <v>#DIV/0!</v>
      </c>
      <c r="V92" s="39" t="e">
        <f t="shared" ref="V92" si="109">V90+V91</f>
        <v>#DIV/0!</v>
      </c>
      <c r="W92" s="39" t="e">
        <f t="shared" ref="W92" si="110">W90+W91</f>
        <v>#DIV/0!</v>
      </c>
      <c r="X92" s="39" t="e">
        <f t="shared" ref="X92:Y92" si="111">X90+X91</f>
        <v>#DIV/0!</v>
      </c>
      <c r="Y92" s="39" t="e">
        <f t="shared" si="111"/>
        <v>#DIV/0!</v>
      </c>
    </row>
  </sheetData>
  <mergeCells count="8">
    <mergeCell ref="A38:A45"/>
    <mergeCell ref="I71:I72"/>
    <mergeCell ref="C2:D2"/>
    <mergeCell ref="C3:D3"/>
    <mergeCell ref="C4:D4"/>
    <mergeCell ref="C5:D5"/>
    <mergeCell ref="A29:A37"/>
    <mergeCell ref="C6:D6"/>
  </mergeCells>
  <phoneticPr fontId="7" type="noConversion"/>
  <conditionalFormatting sqref="E34">
    <cfRule type="cellIs" dxfId="4" priority="4" operator="greaterThan">
      <formula>$G$29</formula>
    </cfRule>
    <cfRule type="cellIs" dxfId="3" priority="5" operator="lessThan">
      <formula>$E$29</formula>
    </cfRule>
  </conditionalFormatting>
  <conditionalFormatting sqref="E42">
    <cfRule type="cellIs" dxfId="2" priority="2" operator="lessThan">
      <formula>$E$38</formula>
    </cfRule>
    <cfRule type="cellIs" dxfId="1" priority="3" operator="greaterThan">
      <formula>$G$38</formula>
    </cfRule>
  </conditionalFormatting>
  <conditionalFormatting sqref="L92:Y92">
    <cfRule type="cellIs" dxfId="0" priority="1" operator="greaterThan">
      <formula>$G$15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Jakub Błoński</dc:creator>
  <cp:lastModifiedBy>Jakub Błoński</cp:lastModifiedBy>
  <cp:lastPrinted>2021-05-13T15:54:04Z</cp:lastPrinted>
  <dcterms:created xsi:type="dcterms:W3CDTF">2021-05-09T08:27:21Z</dcterms:created>
  <dcterms:modified xsi:type="dcterms:W3CDTF">2021-05-19T20:35:07Z</dcterms:modified>
</cp:coreProperties>
</file>