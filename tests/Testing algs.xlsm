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en_skoroszyt"/>
  <mc:AlternateContent xmlns:mc="http://schemas.openxmlformats.org/markup-compatibility/2006">
    <mc:Choice Requires="x15">
      <x15ac:absPath xmlns:x15ac="http://schemas.microsoft.com/office/spreadsheetml/2010/11/ac" url="C:\Kuba\Pompa\tests\"/>
    </mc:Choice>
  </mc:AlternateContent>
  <xr:revisionPtr revIDLastSave="0" documentId="13_ncr:1_{CE826D10-B233-4412-87C5-607F4C87EA95}" xr6:coauthVersionLast="45" xr6:coauthVersionMax="45" xr10:uidLastSave="{00000000-0000-0000-0000-000000000000}"/>
  <bookViews>
    <workbookView xWindow="-60" yWindow="-60" windowWidth="28920" windowHeight="15900" activeTab="1" xr2:uid="{1CF89033-3633-4320-A96C-8AE93001936A}"/>
  </bookViews>
  <sheets>
    <sheet name="Sprawdzanie" sheetId="2" r:id="rId1"/>
    <sheet name="Lambda" sheetId="3" r:id="rId2"/>
  </sheets>
  <calcPr calcId="181029" iterate="1" iterateCount="32767" iterateDelta="9.9999999999999994E-1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3" l="1"/>
  <c r="H49" i="2" l="1"/>
  <c r="H50" i="2"/>
  <c r="H51" i="2"/>
  <c r="H52" i="2"/>
  <c r="H48" i="2"/>
  <c r="G49" i="2"/>
  <c r="G50" i="2"/>
  <c r="G51" i="2"/>
  <c r="G52" i="2"/>
  <c r="G48" i="2"/>
  <c r="G42" i="2"/>
  <c r="G43" i="2"/>
  <c r="G44" i="2"/>
  <c r="G45" i="2"/>
  <c r="G41" i="2"/>
  <c r="F11" i="3"/>
  <c r="F12" i="3"/>
  <c r="F13" i="3"/>
  <c r="F14" i="3"/>
  <c r="F10" i="3"/>
  <c r="E3" i="3"/>
  <c r="E5" i="3"/>
  <c r="C11" i="3"/>
  <c r="C12" i="3"/>
  <c r="C13" i="3"/>
  <c r="C14" i="3"/>
  <c r="C10" i="3"/>
  <c r="D3" i="3"/>
  <c r="C3" i="3"/>
  <c r="C2" i="3"/>
  <c r="D2" i="3" s="1"/>
  <c r="C5" i="3" s="1"/>
  <c r="E10" i="3"/>
  <c r="E11" i="3"/>
  <c r="E12" i="3"/>
  <c r="E13" i="3"/>
  <c r="E14" i="3"/>
  <c r="E6" i="3"/>
  <c r="E7" i="3"/>
  <c r="E8" i="3"/>
  <c r="E9" i="3"/>
  <c r="F5" i="3" l="1"/>
  <c r="G5" i="3" s="1"/>
  <c r="G14" i="3"/>
  <c r="G13" i="3"/>
  <c r="G12" i="3"/>
  <c r="G11" i="3"/>
  <c r="C6" i="3"/>
  <c r="F6" i="3" s="1"/>
  <c r="G6" i="3" s="1"/>
  <c r="C9" i="3"/>
  <c r="F9" i="3" s="1"/>
  <c r="G9" i="3" s="1"/>
  <c r="C8" i="3"/>
  <c r="F8" i="3" s="1"/>
  <c r="G8" i="3" s="1"/>
  <c r="C7" i="3"/>
  <c r="F7" i="3" s="1"/>
  <c r="G7" i="3" s="1"/>
  <c r="G10" i="3"/>
  <c r="F53" i="2" l="1"/>
  <c r="F46" i="2"/>
  <c r="F38" i="2" a="1"/>
  <c r="H38" i="2" s="1"/>
  <c r="F60" i="2"/>
  <c r="F37" i="2"/>
  <c r="F57" i="2" s="1"/>
  <c r="F58" i="2" s="1"/>
  <c r="F36" i="2"/>
  <c r="F48" i="2" s="1"/>
  <c r="F35" i="2"/>
  <c r="F42" i="2" l="1"/>
  <c r="H45" i="2"/>
  <c r="H42" i="2"/>
  <c r="F41" i="2"/>
  <c r="H44" i="2"/>
  <c r="H41" i="2"/>
  <c r="H43" i="2"/>
  <c r="F43" i="2"/>
  <c r="F45" i="2"/>
  <c r="F44" i="2"/>
  <c r="F50" i="2"/>
  <c r="F51" i="2"/>
  <c r="F52" i="2"/>
  <c r="F49" i="2"/>
  <c r="G38" i="2"/>
  <c r="F38" i="2"/>
  <c r="I38" i="2"/>
</calcChain>
</file>

<file path=xl/sharedStrings.xml><?xml version="1.0" encoding="utf-8"?>
<sst xmlns="http://schemas.openxmlformats.org/spreadsheetml/2006/main" count="346" uniqueCount="196">
  <si>
    <t>Stałe</t>
  </si>
  <si>
    <t>przyspieszenie ziemskie</t>
  </si>
  <si>
    <t>jednostka</t>
  </si>
  <si>
    <r>
      <t>m/s</t>
    </r>
    <r>
      <rPr>
        <sz val="11"/>
        <color theme="1"/>
        <rFont val="Calibri"/>
        <family val="2"/>
        <charset val="238"/>
      </rPr>
      <t>²</t>
    </r>
  </si>
  <si>
    <t>symb</t>
  </si>
  <si>
    <t>g</t>
  </si>
  <si>
    <t>=</t>
  </si>
  <si>
    <t>ν</t>
  </si>
  <si>
    <t>opis</t>
  </si>
  <si>
    <t>Dane</t>
  </si>
  <si>
    <t>średnica przewodu wewn</t>
  </si>
  <si>
    <t>m</t>
  </si>
  <si>
    <t>średnica przewodu zewn</t>
  </si>
  <si>
    <t>liczba równoległych przewodów zewn.</t>
  </si>
  <si>
    <t>szt.</t>
  </si>
  <si>
    <t>l</t>
  </si>
  <si>
    <t>wartość oporów przew. wewn</t>
  </si>
  <si>
    <t>wartość oporów przew. zewn</t>
  </si>
  <si>
    <t>ζ₁</t>
  </si>
  <si>
    <t>ζ₂</t>
  </si>
  <si>
    <t>-</t>
  </si>
  <si>
    <t>geometryczna wysokość podnoszenia</t>
  </si>
  <si>
    <r>
      <t>A</t>
    </r>
    <r>
      <rPr>
        <sz val="11"/>
        <color theme="1"/>
        <rFont val="Calibri"/>
        <family val="2"/>
        <charset val="238"/>
      </rPr>
      <t>₁</t>
    </r>
  </si>
  <si>
    <r>
      <t>A</t>
    </r>
    <r>
      <rPr>
        <sz val="11"/>
        <color theme="1"/>
        <rFont val="Calibri"/>
        <family val="2"/>
        <charset val="238"/>
      </rPr>
      <t>₂</t>
    </r>
  </si>
  <si>
    <r>
      <t>m</t>
    </r>
    <r>
      <rPr>
        <sz val="11"/>
        <color theme="1"/>
        <rFont val="Calibri"/>
        <family val="2"/>
        <charset val="238"/>
      </rPr>
      <t>²</t>
    </r>
  </si>
  <si>
    <t xml:space="preserve">pole przekroju przew. wewn </t>
  </si>
  <si>
    <t xml:space="preserve">pole przekroju przew. zewn </t>
  </si>
  <si>
    <t>wart.</t>
  </si>
  <si>
    <t>m n.p.m.</t>
  </si>
  <si>
    <r>
      <t>H</t>
    </r>
    <r>
      <rPr>
        <sz val="8"/>
        <color theme="1"/>
        <rFont val="Calibri"/>
        <family val="2"/>
        <charset val="238"/>
        <scheme val="minor"/>
      </rPr>
      <t>geom</t>
    </r>
  </si>
  <si>
    <t>Obliczenia iteracyjne</t>
  </si>
  <si>
    <t>liczba Reynoldsa przew. wewn</t>
  </si>
  <si>
    <t>liczba Reynoldsa przew. zewn</t>
  </si>
  <si>
    <r>
      <t>Re</t>
    </r>
    <r>
      <rPr>
        <sz val="11"/>
        <color theme="1"/>
        <rFont val="Calibri"/>
        <family val="2"/>
        <charset val="238"/>
      </rPr>
      <t>₁</t>
    </r>
  </si>
  <si>
    <r>
      <t>Re</t>
    </r>
    <r>
      <rPr>
        <sz val="11"/>
        <color theme="1"/>
        <rFont val="Calibri"/>
        <family val="2"/>
        <charset val="238"/>
      </rPr>
      <t>₂</t>
    </r>
  </si>
  <si>
    <t>straty liniowe przewodu wewn.</t>
  </si>
  <si>
    <t>straty liniowe przewodu zewn.</t>
  </si>
  <si>
    <t>λ₁</t>
  </si>
  <si>
    <t>λ₂</t>
  </si>
  <si>
    <r>
      <t>h</t>
    </r>
    <r>
      <rPr>
        <sz val="8"/>
        <color theme="1"/>
        <rFont val="Calibri"/>
        <family val="2"/>
        <charset val="238"/>
        <scheme val="minor"/>
      </rPr>
      <t>l</t>
    </r>
    <r>
      <rPr>
        <sz val="8"/>
        <color theme="1"/>
        <rFont val="Calibri"/>
        <family val="2"/>
        <charset val="238"/>
      </rPr>
      <t>₁</t>
    </r>
  </si>
  <si>
    <r>
      <t>h</t>
    </r>
    <r>
      <rPr>
        <sz val="8"/>
        <color theme="1"/>
        <rFont val="Calibri"/>
        <family val="2"/>
        <charset val="238"/>
        <scheme val="minor"/>
      </rPr>
      <t>l</t>
    </r>
    <r>
      <rPr>
        <sz val="8"/>
        <color theme="1"/>
        <rFont val="Calibri"/>
        <family val="2"/>
        <charset val="238"/>
      </rPr>
      <t>₂</t>
    </r>
  </si>
  <si>
    <r>
      <t>v</t>
    </r>
    <r>
      <rPr>
        <sz val="11"/>
        <color theme="1"/>
        <rFont val="Calibri"/>
        <family val="2"/>
        <charset val="238"/>
      </rPr>
      <t>₁</t>
    </r>
  </si>
  <si>
    <r>
      <t>v</t>
    </r>
    <r>
      <rPr>
        <sz val="11"/>
        <color theme="1"/>
        <rFont val="Calibri"/>
        <family val="2"/>
        <charset val="238"/>
      </rPr>
      <t>₂</t>
    </r>
  </si>
  <si>
    <t>m/s</t>
  </si>
  <si>
    <r>
      <t>Q</t>
    </r>
    <r>
      <rPr>
        <sz val="8"/>
        <color theme="1"/>
        <rFont val="Calibri"/>
        <family val="2"/>
        <charset val="238"/>
        <scheme val="minor"/>
      </rPr>
      <t>geom</t>
    </r>
  </si>
  <si>
    <r>
      <t>m</t>
    </r>
    <r>
      <rPr>
        <sz val="11"/>
        <color theme="1"/>
        <rFont val="Calibri"/>
        <family val="2"/>
        <charset val="238"/>
      </rPr>
      <t>³/s</t>
    </r>
  </si>
  <si>
    <t>l/s</t>
  </si>
  <si>
    <t>Droga</t>
  </si>
  <si>
    <t>A</t>
  </si>
  <si>
    <t>straty miejscowe przewodu wewn.</t>
  </si>
  <si>
    <t>straty miejscowe przewodu zewn.</t>
  </si>
  <si>
    <r>
      <t>h</t>
    </r>
    <r>
      <rPr>
        <sz val="8"/>
        <color theme="1"/>
        <rFont val="Calibri"/>
        <family val="2"/>
        <charset val="238"/>
        <scheme val="minor"/>
      </rPr>
      <t>m</t>
    </r>
    <r>
      <rPr>
        <sz val="8"/>
        <color theme="1"/>
        <rFont val="Calibri"/>
        <family val="2"/>
        <charset val="238"/>
      </rPr>
      <t>₁</t>
    </r>
  </si>
  <si>
    <r>
      <t>h</t>
    </r>
    <r>
      <rPr>
        <sz val="8"/>
        <color theme="1"/>
        <rFont val="Calibri"/>
        <family val="2"/>
        <charset val="238"/>
        <scheme val="minor"/>
      </rPr>
      <t>m</t>
    </r>
    <r>
      <rPr>
        <sz val="8"/>
        <color theme="1"/>
        <rFont val="Calibri"/>
        <family val="2"/>
        <charset val="238"/>
      </rPr>
      <t>₂</t>
    </r>
  </si>
  <si>
    <t>dynamiczna wys. podnoszenia przew. wewn.</t>
  </si>
  <si>
    <t xml:space="preserve">A </t>
  </si>
  <si>
    <t>przepływ wynikający z dyn. wys. podn.</t>
  </si>
  <si>
    <r>
      <t>Q</t>
    </r>
    <r>
      <rPr>
        <sz val="8"/>
        <color theme="1"/>
        <rFont val="Calibri"/>
        <family val="2"/>
        <charset val="238"/>
        <scheme val="minor"/>
      </rPr>
      <t>obl</t>
    </r>
  </si>
  <si>
    <r>
      <t>H</t>
    </r>
    <r>
      <rPr>
        <sz val="8"/>
        <color theme="1"/>
        <rFont val="Calibri"/>
        <family val="2"/>
        <charset val="238"/>
        <scheme val="minor"/>
      </rPr>
      <t>obl</t>
    </r>
  </si>
  <si>
    <t>chropowatość względna przew. wewn.</t>
  </si>
  <si>
    <t>chropowatość względna przew. zewn.</t>
  </si>
  <si>
    <t>ε₁</t>
  </si>
  <si>
    <t>ε₂</t>
  </si>
  <si>
    <r>
      <t>D</t>
    </r>
    <r>
      <rPr>
        <sz val="11"/>
        <color theme="1"/>
        <rFont val="Calibri"/>
        <family val="2"/>
        <charset val="238"/>
      </rPr>
      <t>₁</t>
    </r>
  </si>
  <si>
    <r>
      <t>D</t>
    </r>
    <r>
      <rPr>
        <sz val="11"/>
        <color theme="1"/>
        <rFont val="Calibri"/>
        <family val="2"/>
        <charset val="238"/>
      </rPr>
      <t>₂</t>
    </r>
  </si>
  <si>
    <t>prędkość w przewodzie wewn.  (Q/U)</t>
  </si>
  <si>
    <t>prędkość w przewodzie zewn. (Q/U)</t>
  </si>
  <si>
    <r>
      <t>m²/s</t>
    </r>
    <r>
      <rPr>
        <sz val="11"/>
        <color theme="1"/>
        <rFont val="Calibri"/>
        <family val="2"/>
        <charset val="238"/>
        <scheme val="minor"/>
      </rPr>
      <t/>
    </r>
  </si>
  <si>
    <r>
      <t>kinematyczny wsp. lepkości (dla 20</t>
    </r>
    <r>
      <rPr>
        <sz val="11"/>
        <color theme="1"/>
        <rFont val="Calibri"/>
        <family val="2"/>
        <charset val="238"/>
      </rPr>
      <t>°C)</t>
    </r>
  </si>
  <si>
    <t>B</t>
  </si>
  <si>
    <t>C</t>
  </si>
  <si>
    <t>współczynnik strat lin. przew. wewn. (rury hydr. gładkie)</t>
  </si>
  <si>
    <t>współczynnik strat lin. przew. zewn. (rury hydr. gładkie)</t>
  </si>
  <si>
    <t>współczynnik strat lin. przew. wewn. (strefa przej.)</t>
  </si>
  <si>
    <t>współczynnik strat lin. przew. zewn. (strefa przej.)</t>
  </si>
  <si>
    <t>współczynnik strat lin. przew. wewn. (strefa kwadr. zal.)</t>
  </si>
  <si>
    <t>współczynnik strat lin. przew. zewn. (strefa kwadr. zal.)</t>
  </si>
  <si>
    <t>współczynnik strat lin. przew. wewn. ODPOWIEDNI</t>
  </si>
  <si>
    <t>współczynnik strat lin. przew. zewn. ODPOWIEDNI</t>
  </si>
  <si>
    <t>Re graniczne przew. wewn</t>
  </si>
  <si>
    <t>Re graniczne przew. zewn</t>
  </si>
  <si>
    <r>
      <t>Re₁</t>
    </r>
    <r>
      <rPr>
        <sz val="8"/>
        <color theme="1"/>
        <rFont val="Calibri"/>
        <family val="2"/>
        <charset val="238"/>
      </rPr>
      <t>gr</t>
    </r>
  </si>
  <si>
    <r>
      <t>Re₂</t>
    </r>
    <r>
      <rPr>
        <sz val="8"/>
        <color theme="1"/>
        <rFont val="Calibri"/>
        <family val="2"/>
        <charset val="238"/>
      </rPr>
      <t>gr</t>
    </r>
  </si>
  <si>
    <t>tablice</t>
  </si>
  <si>
    <r>
      <t>H</t>
    </r>
    <r>
      <rPr>
        <i/>
        <sz val="8"/>
        <color theme="1"/>
        <rFont val="Calibri"/>
        <family val="2"/>
        <charset val="238"/>
        <scheme val="minor"/>
      </rPr>
      <t>rozp</t>
    </r>
    <r>
      <rPr>
        <i/>
        <sz val="10"/>
        <color theme="1"/>
        <rFont val="Calibri"/>
        <family val="2"/>
        <charset val="238"/>
        <scheme val="minor"/>
      </rPr>
      <t>-H</t>
    </r>
    <r>
      <rPr>
        <i/>
        <sz val="8"/>
        <color theme="1"/>
        <rFont val="Calibri"/>
        <family val="2"/>
        <charset val="238"/>
        <scheme val="minor"/>
      </rPr>
      <t>wlotu</t>
    </r>
  </si>
  <si>
    <t>interpolacja</t>
  </si>
  <si>
    <t>Qgeom*0,001</t>
  </si>
  <si>
    <t>k₁/D₁</t>
  </si>
  <si>
    <t>k₂/D₂</t>
  </si>
  <si>
    <t>(D₁*v₁)/ν</t>
  </si>
  <si>
    <t>(D₂*v₂)/ν</t>
  </si>
  <si>
    <t>0,3164/(POTĘGA(Re₁; 0,25))</t>
  </si>
  <si>
    <t>0,3164/(POTĘGA(Re₂; 0,25))</t>
  </si>
  <si>
    <t>POTĘGA((1/((-2)*(LOG10((6,1/POTĘGA(Re₁; 0,915))+(0,268*ε₁)))));2)</t>
  </si>
  <si>
    <t>POTĘGA((1/((-2)*(LOG10((6,1/POTĘGA(Re₂; 0,915))+(0,268*ε₂)))));2)</t>
  </si>
  <si>
    <t>POTĘGA((1/((-2)*(LOG10(k₁/(3,71 *D₁)))));2)</t>
  </si>
  <si>
    <t>POTĘGA((1/((-2)*(LOG10(k₂/(3,71 *D₂)))));2)</t>
  </si>
  <si>
    <t>200/(ε₁*(PIERWIASTEK(λ₁))) ze strefy kwadr. zal.</t>
  </si>
  <si>
    <t>200/(ε₂*(PIERWIASTEK(λ₂))) ze strefy kwadr. zal.</t>
  </si>
  <si>
    <r>
      <t>JEŻELI(Re₁&gt;Re₁</t>
    </r>
    <r>
      <rPr>
        <i/>
        <sz val="8"/>
        <color theme="1"/>
        <rFont val="Calibri"/>
        <family val="2"/>
        <charset val="238"/>
        <scheme val="minor"/>
      </rPr>
      <t>gr</t>
    </r>
    <r>
      <rPr>
        <i/>
        <sz val="10"/>
        <color theme="1"/>
        <rFont val="Calibri"/>
        <family val="2"/>
        <charset val="238"/>
        <scheme val="minor"/>
      </rPr>
      <t>; strrefa kw. zal. ; JEŻELI(Re₁&lt;10000; gładkie ; przejściowe))</t>
    </r>
  </si>
  <si>
    <t>$B$4+(((I44-$B$6)/($B$7-$B$6))*(($B$5-$B$4)/1))</t>
  </si>
  <si>
    <r>
      <t>0,001*Q</t>
    </r>
    <r>
      <rPr>
        <i/>
        <sz val="8"/>
        <color theme="1"/>
        <rFont val="Calibri"/>
        <family val="2"/>
        <charset val="238"/>
        <scheme val="minor"/>
      </rPr>
      <t>obl</t>
    </r>
  </si>
  <si>
    <t>λ₁*(L₁/D₁)*((v₁*v₁)/(2*g))</t>
  </si>
  <si>
    <t>ζ₁*((v₁*v₁)/(2*g))</t>
  </si>
  <si>
    <r>
      <t>H</t>
    </r>
    <r>
      <rPr>
        <i/>
        <sz val="8"/>
        <color theme="1"/>
        <rFont val="Calibri"/>
        <family val="2"/>
        <charset val="238"/>
        <scheme val="minor"/>
      </rPr>
      <t xml:space="preserve">geom  </t>
    </r>
    <r>
      <rPr>
        <i/>
        <sz val="10"/>
        <color theme="1"/>
        <rFont val="Calibri"/>
        <family val="2"/>
        <charset val="238"/>
        <scheme val="minor"/>
      </rPr>
      <t>+  h</t>
    </r>
    <r>
      <rPr>
        <i/>
        <sz val="8"/>
        <color theme="1"/>
        <rFont val="Calibri"/>
        <family val="2"/>
        <charset val="238"/>
        <scheme val="minor"/>
      </rPr>
      <t>l</t>
    </r>
    <r>
      <rPr>
        <i/>
        <sz val="10"/>
        <color theme="1"/>
        <rFont val="Calibri"/>
        <family val="2"/>
        <charset val="238"/>
        <scheme val="minor"/>
      </rPr>
      <t>₁  +  h</t>
    </r>
    <r>
      <rPr>
        <i/>
        <sz val="8"/>
        <color theme="1"/>
        <rFont val="Calibri"/>
        <family val="2"/>
        <charset val="238"/>
        <scheme val="minor"/>
      </rPr>
      <t>l</t>
    </r>
    <r>
      <rPr>
        <i/>
        <sz val="10"/>
        <color theme="1"/>
        <rFont val="Calibri"/>
        <family val="2"/>
        <charset val="238"/>
        <scheme val="minor"/>
      </rPr>
      <t>₂  +  h</t>
    </r>
    <r>
      <rPr>
        <i/>
        <sz val="8"/>
        <color theme="1"/>
        <rFont val="Calibri"/>
        <family val="2"/>
        <charset val="238"/>
        <scheme val="minor"/>
      </rPr>
      <t>m</t>
    </r>
    <r>
      <rPr>
        <i/>
        <sz val="10"/>
        <color theme="1"/>
        <rFont val="Calibri"/>
        <family val="2"/>
        <charset val="238"/>
        <scheme val="minor"/>
      </rPr>
      <t>₁  +  h</t>
    </r>
    <r>
      <rPr>
        <i/>
        <sz val="8"/>
        <color theme="1"/>
        <rFont val="Calibri"/>
        <family val="2"/>
        <charset val="238"/>
        <scheme val="minor"/>
      </rPr>
      <t>m</t>
    </r>
    <r>
      <rPr>
        <i/>
        <sz val="10"/>
        <color theme="1"/>
        <rFont val="Calibri"/>
        <family val="2"/>
        <charset val="238"/>
        <scheme val="minor"/>
      </rPr>
      <t>₂</t>
    </r>
  </si>
  <si>
    <r>
      <t>Q</t>
    </r>
    <r>
      <rPr>
        <i/>
        <sz val="8"/>
        <color theme="1"/>
        <rFont val="Calibri"/>
        <family val="2"/>
        <charset val="238"/>
        <scheme val="minor"/>
      </rPr>
      <t>geom</t>
    </r>
    <r>
      <rPr>
        <i/>
        <sz val="10"/>
        <color theme="1"/>
        <rFont val="Calibri"/>
        <family val="2"/>
        <charset val="238"/>
        <scheme val="minor"/>
      </rPr>
      <t>/A₁</t>
    </r>
  </si>
  <si>
    <r>
      <t>Q</t>
    </r>
    <r>
      <rPr>
        <i/>
        <sz val="8"/>
        <color theme="1"/>
        <rFont val="Calibri"/>
        <family val="2"/>
        <charset val="238"/>
        <scheme val="minor"/>
      </rPr>
      <t>geom</t>
    </r>
    <r>
      <rPr>
        <i/>
        <sz val="10"/>
        <color theme="1"/>
        <rFont val="Calibri"/>
        <family val="2"/>
        <charset val="238"/>
        <scheme val="minor"/>
      </rPr>
      <t>/A₂</t>
    </r>
  </si>
  <si>
    <t>wyd. pompy dla maks. sprawności</t>
  </si>
  <si>
    <t>Pompa</t>
  </si>
  <si>
    <t>PARAMETRY KOŃCOWE</t>
  </si>
  <si>
    <t>wys. LC u wylotu pompy</t>
  </si>
  <si>
    <t>geom. Wys. Podnoszenia</t>
  </si>
  <si>
    <t>wydatek</t>
  </si>
  <si>
    <t>prędkość w kol. Tł.</t>
  </si>
  <si>
    <t>prędkość w przew. Pompowni</t>
  </si>
  <si>
    <t>Q</t>
  </si>
  <si>
    <t>Hlc</t>
  </si>
  <si>
    <t>Hgeom</t>
  </si>
  <si>
    <t>Przewód</t>
  </si>
  <si>
    <t>liczba pomp rezerwowych</t>
  </si>
  <si>
    <t>średnica studni</t>
  </si>
  <si>
    <t>Ds.</t>
  </si>
  <si>
    <t>długość przewodu zewn</t>
  </si>
  <si>
    <t>L1</t>
  </si>
  <si>
    <t>L2</t>
  </si>
  <si>
    <t>minimalna wys. Ścieków</t>
  </si>
  <si>
    <t>Hmin</t>
  </si>
  <si>
    <t>rzędna terenu</t>
  </si>
  <si>
    <t>Hter</t>
  </si>
  <si>
    <t>rzędna wyjścia z pompowni</t>
  </si>
  <si>
    <t>rzedna dopływu</t>
  </si>
  <si>
    <t>rzędna dna</t>
  </si>
  <si>
    <t>Hdna</t>
  </si>
  <si>
    <t>Hdop</t>
  </si>
  <si>
    <t>średnica pompy</t>
  </si>
  <si>
    <t>Dpom</t>
  </si>
  <si>
    <t>rzędna najwyższego punktu przew tłocznego</t>
  </si>
  <si>
    <t>rzędna wylotru przewodu tłocznego</t>
  </si>
  <si>
    <t>Hmax</t>
  </si>
  <si>
    <t>Hwyl</t>
  </si>
  <si>
    <t>Hwyj</t>
  </si>
  <si>
    <t>długość przewodu w pompowni</t>
  </si>
  <si>
    <t>dopływ minimalny</t>
  </si>
  <si>
    <t>Dopmin</t>
  </si>
  <si>
    <t>dopływ maksymalnyt</t>
  </si>
  <si>
    <t>Dopmax</t>
  </si>
  <si>
    <t>minimalny czas cyklu</t>
  </si>
  <si>
    <t>Tc</t>
  </si>
  <si>
    <t>s</t>
  </si>
  <si>
    <t>zakres max sprawności dolny</t>
  </si>
  <si>
    <t>zakres max sprawności górny</t>
  </si>
  <si>
    <t>chropowatość przewodu wewn</t>
  </si>
  <si>
    <t>chropowatość przewodu zewn</t>
  </si>
  <si>
    <t>OBLICZENIA STAŁE</t>
  </si>
  <si>
    <t>DANE</t>
  </si>
  <si>
    <t>mm</t>
  </si>
  <si>
    <t>rzędna wyłączenia pomp</t>
  </si>
  <si>
    <t>Hend</t>
  </si>
  <si>
    <t>charakterystyka pompy P1</t>
  </si>
  <si>
    <t>charakterystyka pompy P2</t>
  </si>
  <si>
    <t>charakterystyka pompy P3</t>
  </si>
  <si>
    <t>charakterystyka pompy P4</t>
  </si>
  <si>
    <t>charakterystyka pompy P5</t>
  </si>
  <si>
    <t>charakterystyka pompy (wielomian)</t>
  </si>
  <si>
    <t>OBLICZENIA ITERACYJNE</t>
  </si>
  <si>
    <t>rzędna do obliczeń</t>
  </si>
  <si>
    <t>Hspr</t>
  </si>
  <si>
    <t>wysokość geometryczna</t>
  </si>
  <si>
    <t>L/D przew zewn</t>
  </si>
  <si>
    <t>L/D1</t>
  </si>
  <si>
    <t>L/D2</t>
  </si>
  <si>
    <t>obliczenia strat dla Q1</t>
  </si>
  <si>
    <t>obliczenia strat dla Q2</t>
  </si>
  <si>
    <t>obliczenia strat dla Q3</t>
  </si>
  <si>
    <t>obliczenia strat dla Q4</t>
  </si>
  <si>
    <t>obliczenia strat dla Q5</t>
  </si>
  <si>
    <t>PRZEWÓD WEWNĘTRZNY</t>
  </si>
  <si>
    <t>PRZEWÓD ZEWNĘTRZNY</t>
  </si>
  <si>
    <t xml:space="preserve">L/D </t>
  </si>
  <si>
    <t>Re</t>
  </si>
  <si>
    <t>λ</t>
  </si>
  <si>
    <t>różnica</t>
  </si>
  <si>
    <t>Przewód wewnętrzny</t>
  </si>
  <si>
    <t>Q1</t>
  </si>
  <si>
    <t>Q2</t>
  </si>
  <si>
    <t>Q3</t>
  </si>
  <si>
    <t>Q4</t>
  </si>
  <si>
    <t>Q5</t>
  </si>
  <si>
    <t>lewa strona</t>
  </si>
  <si>
    <t>prawa strona</t>
  </si>
  <si>
    <t>Przewód zewnętrzny</t>
  </si>
  <si>
    <t>Przewód zewn.</t>
  </si>
  <si>
    <t>Przewód wewn.</t>
  </si>
  <si>
    <t>Średnica</t>
  </si>
  <si>
    <t>Pole A</t>
  </si>
  <si>
    <t>chropowatość</t>
  </si>
  <si>
    <t>v2/2g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</si>
</sst>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0000"/>
    <numFmt numFmtId="165" formatCode="0.0000000000"/>
    <numFmt numFmtId="166" formatCode="0.0000"/>
    <numFmt numFmtId="167" formatCode="0.000000000"/>
    <numFmt numFmtId="168" formatCode="0.000000"/>
    <numFmt numFmtId="169" formatCode="0.0000000"/>
  </numFmts>
  <fonts count="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8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</font>
    <font>
      <i/>
      <sz val="10"/>
      <color theme="1"/>
      <name val="Calibri"/>
      <family val="2"/>
      <charset val="238"/>
      <scheme val="minor"/>
    </font>
    <font>
      <i/>
      <sz val="8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21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2" borderId="0" xfId="0" applyFill="1"/>
    <xf numFmtId="0" fontId="4" fillId="0" borderId="0" xfId="0" applyFont="1"/>
    <xf numFmtId="0" fontId="0" fillId="3" borderId="0" xfId="0" applyFill="1"/>
    <xf numFmtId="0" fontId="0" fillId="4" borderId="0" xfId="0" applyFill="1"/>
    <xf numFmtId="166" fontId="0" fillId="0" borderId="0" xfId="0" applyNumberFormat="1"/>
    <xf numFmtId="2" fontId="0" fillId="2" borderId="0" xfId="0" applyNumberFormat="1" applyFill="1"/>
    <xf numFmtId="0" fontId="7" fillId="0" borderId="0" xfId="0" applyFont="1" applyAlignment="1">
      <alignment horizontal="center" vertical="center"/>
    </xf>
    <xf numFmtId="167" fontId="0" fillId="5" borderId="0" xfId="0" applyNumberFormat="1" applyFill="1"/>
    <xf numFmtId="165" fontId="0" fillId="5" borderId="0" xfId="0" applyNumberFormat="1" applyFill="1"/>
    <xf numFmtId="1" fontId="0" fillId="0" borderId="0" xfId="0" applyNumberFormat="1"/>
    <xf numFmtId="168" fontId="0" fillId="0" borderId="0" xfId="0" applyNumberFormat="1"/>
    <xf numFmtId="164" fontId="0" fillId="0" borderId="0" xfId="1" applyNumberFormat="1" applyFont="1"/>
    <xf numFmtId="169" fontId="0" fillId="0" borderId="0" xfId="0" applyNumberFormat="1"/>
    <xf numFmtId="0" fontId="0" fillId="0" borderId="0" xfId="0" applyAlignment="1">
      <alignment horizontal="center" vertical="center" textRotation="90" wrapText="1"/>
    </xf>
    <xf numFmtId="0" fontId="0" fillId="0" borderId="0" xfId="0" applyAlignment="1">
      <alignment horizontal="center"/>
    </xf>
  </cellXfs>
  <cellStyles count="2">
    <cellStyle name="Dziesiętny" xfId="1" builtinId="3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EN93"/>
  <sheetViews>
    <sheetView topLeftCell="B4" workbookViewId="0">
      <selection activeCell="F17" sqref="F17"/>
    </sheetView>
  </sheetViews>
  <sheetFormatPr defaultRowHeight="15" x14ac:dyDescent="0.25"/>
  <cols>
    <col min="1" max="1" width="22.5703125" customWidth="1"/>
    <col min="2" max="2" width="5.5703125" customWidth="1"/>
    <col min="3" max="3" width="50.28515625" customWidth="1"/>
    <col min="4" max="4" width="7.7109375" style="4" customWidth="1"/>
    <col min="5" max="5" width="1.85546875" customWidth="1"/>
    <col min="6" max="6" width="16" customWidth="1"/>
    <col min="7" max="7" width="16.5703125" customWidth="1"/>
    <col min="8" max="8" width="15.42578125" customWidth="1"/>
    <col min="9" max="9" width="14.7109375" customWidth="1"/>
    <col min="10" max="10" width="14.140625" customWidth="1"/>
    <col min="11" max="11" width="14.7109375" customWidth="1"/>
    <col min="12" max="15" width="13.42578125" customWidth="1"/>
    <col min="16" max="16" width="12.5703125" customWidth="1"/>
    <col min="17" max="17" width="14.7109375" customWidth="1"/>
    <col min="18" max="18" width="5" customWidth="1"/>
    <col min="19" max="19" width="14.7109375" customWidth="1"/>
  </cols>
  <sheetData>
    <row r="1" spans="1:8" x14ac:dyDescent="0.25">
      <c r="B1" t="s">
        <v>47</v>
      </c>
      <c r="C1" t="s">
        <v>8</v>
      </c>
      <c r="D1" s="4" t="s">
        <v>4</v>
      </c>
      <c r="F1" t="s">
        <v>27</v>
      </c>
      <c r="G1" t="s">
        <v>2</v>
      </c>
    </row>
    <row r="2" spans="1:8" ht="27.75" customHeight="1" x14ac:dyDescent="0.25">
      <c r="C2" s="12" t="s">
        <v>153</v>
      </c>
    </row>
    <row r="3" spans="1:8" x14ac:dyDescent="0.25">
      <c r="C3" t="s">
        <v>118</v>
      </c>
      <c r="F3">
        <v>1</v>
      </c>
    </row>
    <row r="4" spans="1:8" x14ac:dyDescent="0.25">
      <c r="A4" t="s">
        <v>0</v>
      </c>
      <c r="C4" t="s">
        <v>1</v>
      </c>
      <c r="D4" s="4" t="s">
        <v>5</v>
      </c>
      <c r="E4" t="s">
        <v>6</v>
      </c>
      <c r="F4">
        <v>9.81</v>
      </c>
      <c r="G4" t="s">
        <v>3</v>
      </c>
    </row>
    <row r="5" spans="1:8" x14ac:dyDescent="0.25">
      <c r="C5" t="s">
        <v>67</v>
      </c>
      <c r="D5" s="5" t="s">
        <v>7</v>
      </c>
      <c r="E5" t="s">
        <v>6</v>
      </c>
      <c r="F5" s="3">
        <v>1.0068E-6</v>
      </c>
      <c r="G5" t="s">
        <v>66</v>
      </c>
      <c r="H5" s="7" t="s">
        <v>82</v>
      </c>
    </row>
    <row r="6" spans="1:8" x14ac:dyDescent="0.25">
      <c r="C6" t="s">
        <v>133</v>
      </c>
      <c r="D6" s="5" t="s">
        <v>134</v>
      </c>
      <c r="E6" t="s">
        <v>6</v>
      </c>
      <c r="F6" s="1">
        <v>0.5</v>
      </c>
      <c r="G6" t="s">
        <v>11</v>
      </c>
      <c r="H6" s="7"/>
    </row>
    <row r="7" spans="1:8" x14ac:dyDescent="0.25">
      <c r="C7" t="s">
        <v>119</v>
      </c>
      <c r="D7" s="5" t="s">
        <v>120</v>
      </c>
      <c r="E7" t="s">
        <v>6</v>
      </c>
      <c r="F7" s="1">
        <v>2</v>
      </c>
      <c r="G7" t="s">
        <v>11</v>
      </c>
      <c r="H7" s="7"/>
    </row>
    <row r="8" spans="1:8" x14ac:dyDescent="0.25">
      <c r="C8" t="s">
        <v>124</v>
      </c>
      <c r="D8" s="4" t="s">
        <v>125</v>
      </c>
      <c r="E8" t="s">
        <v>6</v>
      </c>
      <c r="F8" s="6">
        <v>0.3</v>
      </c>
      <c r="G8" t="s">
        <v>11</v>
      </c>
      <c r="H8" s="7"/>
    </row>
    <row r="9" spans="1:8" x14ac:dyDescent="0.25">
      <c r="C9" t="s">
        <v>126</v>
      </c>
      <c r="D9" s="4" t="s">
        <v>127</v>
      </c>
      <c r="F9" s="11">
        <v>100</v>
      </c>
      <c r="G9" t="s">
        <v>28</v>
      </c>
      <c r="H9" s="7"/>
    </row>
    <row r="10" spans="1:8" x14ac:dyDescent="0.25">
      <c r="C10" t="s">
        <v>128</v>
      </c>
      <c r="D10" s="4" t="s">
        <v>139</v>
      </c>
      <c r="F10" s="11">
        <v>98</v>
      </c>
      <c r="G10" t="s">
        <v>28</v>
      </c>
      <c r="H10" s="7"/>
    </row>
    <row r="11" spans="1:8" x14ac:dyDescent="0.25">
      <c r="C11" t="s">
        <v>129</v>
      </c>
      <c r="D11" s="4" t="s">
        <v>132</v>
      </c>
      <c r="F11" s="11">
        <v>97</v>
      </c>
      <c r="G11" t="s">
        <v>28</v>
      </c>
      <c r="H11" s="7"/>
    </row>
    <row r="12" spans="1:8" x14ac:dyDescent="0.25">
      <c r="C12" t="s">
        <v>130</v>
      </c>
      <c r="D12" s="4" t="s">
        <v>131</v>
      </c>
      <c r="E12" t="s">
        <v>6</v>
      </c>
      <c r="F12" s="11">
        <v>94.7</v>
      </c>
      <c r="G12" t="s">
        <v>28</v>
      </c>
      <c r="H12" s="7"/>
    </row>
    <row r="13" spans="1:8" x14ac:dyDescent="0.25">
      <c r="C13" t="s">
        <v>135</v>
      </c>
      <c r="D13" s="4" t="s">
        <v>137</v>
      </c>
      <c r="F13" s="11">
        <v>105</v>
      </c>
      <c r="G13" t="s">
        <v>28</v>
      </c>
      <c r="H13" s="7"/>
    </row>
    <row r="14" spans="1:8" x14ac:dyDescent="0.25">
      <c r="C14" t="s">
        <v>136</v>
      </c>
      <c r="D14" s="4" t="s">
        <v>156</v>
      </c>
      <c r="F14" s="11">
        <v>105</v>
      </c>
      <c r="G14" t="s">
        <v>28</v>
      </c>
      <c r="H14" s="7"/>
    </row>
    <row r="15" spans="1:8" x14ac:dyDescent="0.25">
      <c r="C15" t="s">
        <v>140</v>
      </c>
      <c r="D15" s="4" t="s">
        <v>122</v>
      </c>
      <c r="F15" s="11">
        <v>5</v>
      </c>
      <c r="G15" t="s">
        <v>11</v>
      </c>
      <c r="H15" s="7"/>
    </row>
    <row r="16" spans="1:8" x14ac:dyDescent="0.25">
      <c r="C16" t="s">
        <v>10</v>
      </c>
      <c r="D16" s="4" t="s">
        <v>62</v>
      </c>
      <c r="E16" t="s">
        <v>6</v>
      </c>
      <c r="F16" s="6">
        <v>0.2</v>
      </c>
      <c r="G16" t="s">
        <v>11</v>
      </c>
      <c r="H16" s="7"/>
    </row>
    <row r="17" spans="1:9" x14ac:dyDescent="0.25">
      <c r="C17" t="s">
        <v>150</v>
      </c>
      <c r="F17" s="6">
        <v>0.03</v>
      </c>
      <c r="G17" t="s">
        <v>154</v>
      </c>
      <c r="H17" s="7"/>
    </row>
    <row r="18" spans="1:9" x14ac:dyDescent="0.25">
      <c r="A18" t="s">
        <v>9</v>
      </c>
      <c r="C18" t="s">
        <v>16</v>
      </c>
      <c r="D18" s="5" t="s">
        <v>18</v>
      </c>
      <c r="E18" t="s">
        <v>6</v>
      </c>
      <c r="F18" s="6">
        <v>0</v>
      </c>
      <c r="G18" t="s">
        <v>20</v>
      </c>
      <c r="I18" s="7"/>
    </row>
    <row r="19" spans="1:9" x14ac:dyDescent="0.25">
      <c r="C19" t="s">
        <v>141</v>
      </c>
      <c r="D19" s="4" t="s">
        <v>142</v>
      </c>
      <c r="F19" s="6">
        <v>10</v>
      </c>
      <c r="G19" t="s">
        <v>46</v>
      </c>
      <c r="I19" s="7"/>
    </row>
    <row r="20" spans="1:9" x14ac:dyDescent="0.25">
      <c r="C20" t="s">
        <v>143</v>
      </c>
      <c r="D20" s="4" t="s">
        <v>144</v>
      </c>
      <c r="F20" s="6">
        <v>20</v>
      </c>
      <c r="G20" t="s">
        <v>46</v>
      </c>
      <c r="I20" s="7"/>
    </row>
    <row r="21" spans="1:9" x14ac:dyDescent="0.25">
      <c r="C21" t="s">
        <v>145</v>
      </c>
      <c r="D21" s="4" t="s">
        <v>146</v>
      </c>
      <c r="F21" s="6">
        <v>300</v>
      </c>
      <c r="G21" t="s">
        <v>147</v>
      </c>
      <c r="I21" s="7"/>
    </row>
    <row r="22" spans="1:9" x14ac:dyDescent="0.25">
      <c r="C22" t="s">
        <v>157</v>
      </c>
      <c r="F22" s="6">
        <v>25.2</v>
      </c>
      <c r="G22" t="s">
        <v>46</v>
      </c>
      <c r="H22" s="6">
        <v>0</v>
      </c>
      <c r="I22" t="s">
        <v>11</v>
      </c>
    </row>
    <row r="23" spans="1:9" x14ac:dyDescent="0.25">
      <c r="A23" t="s">
        <v>107</v>
      </c>
      <c r="C23" t="s">
        <v>158</v>
      </c>
      <c r="F23" s="6">
        <v>25.1</v>
      </c>
      <c r="G23" t="s">
        <v>46</v>
      </c>
      <c r="H23" s="6">
        <v>5</v>
      </c>
      <c r="I23" t="s">
        <v>11</v>
      </c>
    </row>
    <row r="24" spans="1:9" x14ac:dyDescent="0.25">
      <c r="C24" t="s">
        <v>159</v>
      </c>
      <c r="F24" s="6">
        <v>25</v>
      </c>
      <c r="G24" t="s">
        <v>46</v>
      </c>
      <c r="H24" s="6">
        <v>10</v>
      </c>
      <c r="I24" t="s">
        <v>11</v>
      </c>
    </row>
    <row r="25" spans="1:9" x14ac:dyDescent="0.25">
      <c r="C25" t="s">
        <v>160</v>
      </c>
      <c r="F25" s="6">
        <v>24.9</v>
      </c>
      <c r="G25" t="s">
        <v>46</v>
      </c>
      <c r="H25" s="6">
        <v>15</v>
      </c>
      <c r="I25" t="s">
        <v>11</v>
      </c>
    </row>
    <row r="26" spans="1:9" x14ac:dyDescent="0.25">
      <c r="C26" t="s">
        <v>161</v>
      </c>
      <c r="F26" s="6">
        <v>24.8</v>
      </c>
      <c r="G26" t="s">
        <v>46</v>
      </c>
      <c r="H26" s="6">
        <v>20</v>
      </c>
      <c r="I26" t="s">
        <v>11</v>
      </c>
    </row>
    <row r="27" spans="1:9" x14ac:dyDescent="0.25">
      <c r="A27" s="8"/>
      <c r="C27" t="s">
        <v>148</v>
      </c>
      <c r="F27" s="6">
        <v>24.9</v>
      </c>
      <c r="G27" t="s">
        <v>46</v>
      </c>
      <c r="I27" s="7"/>
    </row>
    <row r="28" spans="1:9" x14ac:dyDescent="0.25">
      <c r="A28" s="8"/>
      <c r="C28" t="s">
        <v>149</v>
      </c>
      <c r="F28" s="6">
        <v>25.1</v>
      </c>
      <c r="G28" t="s">
        <v>46</v>
      </c>
      <c r="I28" s="7"/>
    </row>
    <row r="29" spans="1:9" x14ac:dyDescent="0.25">
      <c r="A29" s="8"/>
      <c r="C29" t="s">
        <v>13</v>
      </c>
      <c r="D29" s="4" t="s">
        <v>15</v>
      </c>
      <c r="E29" t="s">
        <v>6</v>
      </c>
      <c r="F29" s="6">
        <v>1</v>
      </c>
      <c r="G29" t="s">
        <v>14</v>
      </c>
      <c r="I29" s="7"/>
    </row>
    <row r="30" spans="1:9" x14ac:dyDescent="0.25">
      <c r="C30" t="s">
        <v>121</v>
      </c>
      <c r="D30" s="4" t="s">
        <v>123</v>
      </c>
      <c r="E30" t="s">
        <v>6</v>
      </c>
      <c r="F30" s="6">
        <v>95</v>
      </c>
      <c r="G30" t="s">
        <v>11</v>
      </c>
      <c r="I30" s="7"/>
    </row>
    <row r="31" spans="1:9" x14ac:dyDescent="0.25">
      <c r="A31" t="s">
        <v>117</v>
      </c>
      <c r="C31" t="s">
        <v>12</v>
      </c>
      <c r="D31" s="4" t="s">
        <v>63</v>
      </c>
      <c r="E31" t="s">
        <v>6</v>
      </c>
      <c r="F31" s="6">
        <v>0.2</v>
      </c>
      <c r="G31" t="s">
        <v>11</v>
      </c>
      <c r="I31" s="7"/>
    </row>
    <row r="32" spans="1:9" x14ac:dyDescent="0.25">
      <c r="C32" t="s">
        <v>151</v>
      </c>
      <c r="F32" s="6">
        <v>0.03</v>
      </c>
      <c r="G32" t="s">
        <v>154</v>
      </c>
      <c r="I32" s="7"/>
    </row>
    <row r="33" spans="1:9" x14ac:dyDescent="0.25">
      <c r="C33" t="s">
        <v>17</v>
      </c>
      <c r="D33" s="5" t="s">
        <v>19</v>
      </c>
      <c r="E33" t="s">
        <v>6</v>
      </c>
      <c r="F33" s="6">
        <v>0</v>
      </c>
      <c r="G33" t="s">
        <v>20</v>
      </c>
      <c r="I33" s="7"/>
    </row>
    <row r="34" spans="1:9" ht="30.75" customHeight="1" x14ac:dyDescent="0.25">
      <c r="A34" s="9"/>
      <c r="C34" s="12" t="s">
        <v>152</v>
      </c>
      <c r="I34" s="7"/>
    </row>
    <row r="35" spans="1:9" x14ac:dyDescent="0.25">
      <c r="C35" t="s">
        <v>25</v>
      </c>
      <c r="D35" s="4" t="s">
        <v>22</v>
      </c>
      <c r="E35" t="s">
        <v>6</v>
      </c>
      <c r="F35" s="10">
        <f>3.14*(POWER(F16, 2))*0.25</f>
        <v>3.1400000000000004E-2</v>
      </c>
      <c r="G35" t="s">
        <v>24</v>
      </c>
      <c r="H35" s="7"/>
    </row>
    <row r="36" spans="1:9" x14ac:dyDescent="0.25">
      <c r="C36" t="s">
        <v>26</v>
      </c>
      <c r="D36" s="4" t="s">
        <v>23</v>
      </c>
      <c r="E36" t="s">
        <v>6</v>
      </c>
      <c r="F36" s="10">
        <f>3.14*(POWER(F31, 2))*0.25</f>
        <v>3.1400000000000004E-2</v>
      </c>
      <c r="G36" t="s">
        <v>24</v>
      </c>
      <c r="H36" s="7"/>
    </row>
    <row r="37" spans="1:9" x14ac:dyDescent="0.25">
      <c r="C37" t="s">
        <v>155</v>
      </c>
      <c r="D37" s="4" t="s">
        <v>138</v>
      </c>
      <c r="E37" t="s">
        <v>6</v>
      </c>
      <c r="F37" s="1">
        <f>F12+F8</f>
        <v>95</v>
      </c>
      <c r="G37" t="s">
        <v>28</v>
      </c>
      <c r="H37" s="7"/>
    </row>
    <row r="38" spans="1:9" x14ac:dyDescent="0.25">
      <c r="C38" t="s">
        <v>162</v>
      </c>
      <c r="F38">
        <f t="array" ref="F38:I38">LINEST(H22:H26, F22:F26^{1,2,3})</f>
        <v>-3.0038248943537102E-11</v>
      </c>
      <c r="G38">
        <v>2.2528768597887325E-9</v>
      </c>
      <c r="H38" s="7">
        <v>-50.000000056321106</v>
      </c>
      <c r="I38">
        <v>1260.000000469327</v>
      </c>
    </row>
    <row r="40" spans="1:9" x14ac:dyDescent="0.25">
      <c r="C40" t="s">
        <v>175</v>
      </c>
      <c r="F40" s="1" t="s">
        <v>178</v>
      </c>
      <c r="G40" s="5" t="s">
        <v>179</v>
      </c>
      <c r="H40" t="s">
        <v>195</v>
      </c>
    </row>
    <row r="41" spans="1:9" x14ac:dyDescent="0.25">
      <c r="C41" t="s">
        <v>170</v>
      </c>
      <c r="F41" s="1">
        <f>(($F$16*(($F22/1000)/$F$35))/$F$5)</f>
        <v>159425.46100529141</v>
      </c>
      <c r="G41" s="13">
        <f>Lambda!D5</f>
        <v>0.59081601063222466</v>
      </c>
      <c r="H41">
        <f>POWER(((F22/1000)/F$35),2)/(2*9.81)</f>
        <v>3.2827875854055145E-2</v>
      </c>
    </row>
    <row r="42" spans="1:9" x14ac:dyDescent="0.25">
      <c r="C42" t="s">
        <v>171</v>
      </c>
      <c r="F42" s="1">
        <f t="shared" ref="F42:F45" si="0">(($F$16*(($F23/1000)/$F$35))/$F$5)</f>
        <v>158792.82028701642</v>
      </c>
      <c r="G42" s="13">
        <f>Lambda!D6</f>
        <v>0.59270088710211188</v>
      </c>
      <c r="H42">
        <f t="shared" ref="H42:H45" si="1">POWER(((F23/1000)/F$35),2)/(2*9.81)</f>
        <v>3.2567854098660372E-2</v>
      </c>
    </row>
    <row r="43" spans="1:9" x14ac:dyDescent="0.25">
      <c r="C43" t="s">
        <v>172</v>
      </c>
      <c r="F43" s="1">
        <f t="shared" si="0"/>
        <v>158160.17956874147</v>
      </c>
      <c r="G43" s="13">
        <f>Lambda!D7</f>
        <v>0.59460115758350784</v>
      </c>
      <c r="H43">
        <f t="shared" si="1"/>
        <v>3.230886622698486E-2</v>
      </c>
    </row>
    <row r="44" spans="1:9" x14ac:dyDescent="0.25">
      <c r="C44" t="s">
        <v>173</v>
      </c>
      <c r="F44" s="1">
        <f t="shared" si="0"/>
        <v>157527.53885046646</v>
      </c>
      <c r="G44" s="13">
        <f>Lambda!D8</f>
        <v>0.59651701661033196</v>
      </c>
      <c r="H44">
        <f t="shared" si="1"/>
        <v>3.2050912239028603E-2</v>
      </c>
    </row>
    <row r="45" spans="1:9" x14ac:dyDescent="0.25">
      <c r="C45" t="s">
        <v>174</v>
      </c>
      <c r="F45" s="1">
        <f t="shared" si="0"/>
        <v>156894.89813219151</v>
      </c>
      <c r="G45" s="13">
        <f>Lambda!D9</f>
        <v>0.59844866202634339</v>
      </c>
      <c r="H45">
        <f t="shared" si="1"/>
        <v>3.1793992134791622E-2</v>
      </c>
    </row>
    <row r="46" spans="1:9" x14ac:dyDescent="0.25">
      <c r="C46" t="s">
        <v>177</v>
      </c>
      <c r="D46" s="4" t="s">
        <v>168</v>
      </c>
      <c r="F46" s="1">
        <f>F15/F16</f>
        <v>25</v>
      </c>
    </row>
    <row r="47" spans="1:9" x14ac:dyDescent="0.25">
      <c r="C47" t="s">
        <v>176</v>
      </c>
      <c r="F47" s="1" t="s">
        <v>178</v>
      </c>
      <c r="G47" s="5" t="s">
        <v>179</v>
      </c>
    </row>
    <row r="48" spans="1:9" x14ac:dyDescent="0.25">
      <c r="C48" t="s">
        <v>170</v>
      </c>
      <c r="F48" s="1">
        <f>(($F$31*(($F22/1000)/$F$36))/$F$5)</f>
        <v>159425.46100529141</v>
      </c>
      <c r="G48" s="14">
        <f>Lambda!D10</f>
        <v>1.2203239209029924</v>
      </c>
      <c r="H48">
        <f>POWER(((F22/1000)/F$36),2)/(2*9.81)</f>
        <v>3.2827875854055145E-2</v>
      </c>
    </row>
    <row r="49" spans="3:8" x14ac:dyDescent="0.25">
      <c r="C49" t="s">
        <v>171</v>
      </c>
      <c r="F49" s="1">
        <f>(($F$31*(($F23/1000)/$F$36))/$F$5)</f>
        <v>158792.82028701642</v>
      </c>
      <c r="G49" s="14">
        <f>Lambda!D11</f>
        <v>1.2250874955740312</v>
      </c>
      <c r="H49">
        <f t="shared" ref="H49:H52" si="2">POWER(((F23/1000)/F$36),2)/(2*9.81)</f>
        <v>3.2567854098660372E-2</v>
      </c>
    </row>
    <row r="50" spans="3:8" x14ac:dyDescent="0.25">
      <c r="C50" t="s">
        <v>172</v>
      </c>
      <c r="F50" s="1">
        <f>(($F$31*(($F24/1000)/$F$36))/$F$5)</f>
        <v>158160.17956874147</v>
      </c>
      <c r="G50" s="14">
        <f>Lambda!D12</f>
        <v>1.2298935850152604</v>
      </c>
      <c r="H50">
        <f t="shared" si="2"/>
        <v>3.230886622698486E-2</v>
      </c>
    </row>
    <row r="51" spans="3:8" x14ac:dyDescent="0.25">
      <c r="C51" t="s">
        <v>173</v>
      </c>
      <c r="F51" s="1">
        <f>(($F$31*(($F25/1000)/$F$36))/$F$5)</f>
        <v>157527.53885046646</v>
      </c>
      <c r="G51" s="14">
        <f>Lambda!D13</f>
        <v>1.23474276017704</v>
      </c>
      <c r="H51">
        <f t="shared" si="2"/>
        <v>3.2050912239028603E-2</v>
      </c>
    </row>
    <row r="52" spans="3:8" x14ac:dyDescent="0.25">
      <c r="C52" t="s">
        <v>174</v>
      </c>
      <c r="F52" s="1">
        <f>(($F$31*(($F26/1000)/$F$36))/$F$5)</f>
        <v>156894.89813219151</v>
      </c>
      <c r="G52" s="14">
        <f>Lambda!D14</f>
        <v>1.2396356021873876</v>
      </c>
      <c r="H52">
        <f t="shared" si="2"/>
        <v>3.1793992134791622E-2</v>
      </c>
    </row>
    <row r="53" spans="3:8" x14ac:dyDescent="0.25">
      <c r="C53" t="s">
        <v>167</v>
      </c>
      <c r="D53" s="4" t="s">
        <v>169</v>
      </c>
      <c r="F53" s="1">
        <f>F30/F31</f>
        <v>475</v>
      </c>
    </row>
    <row r="56" spans="3:8" ht="34.5" customHeight="1" x14ac:dyDescent="0.25">
      <c r="C56" s="12" t="s">
        <v>163</v>
      </c>
    </row>
    <row r="57" spans="3:8" x14ac:dyDescent="0.25">
      <c r="C57" t="s">
        <v>164</v>
      </c>
      <c r="D57" s="4" t="s">
        <v>165</v>
      </c>
      <c r="E57" t="s">
        <v>6</v>
      </c>
      <c r="F57" s="1">
        <f>F37</f>
        <v>95</v>
      </c>
      <c r="G57" t="s">
        <v>28</v>
      </c>
    </row>
    <row r="58" spans="3:8" x14ac:dyDescent="0.25">
      <c r="C58" t="s">
        <v>166</v>
      </c>
      <c r="D58" s="4" t="s">
        <v>116</v>
      </c>
      <c r="E58" t="s">
        <v>6</v>
      </c>
      <c r="F58" s="1">
        <f>F14-F57</f>
        <v>10</v>
      </c>
      <c r="G58" t="s">
        <v>11</v>
      </c>
    </row>
    <row r="59" spans="3:8" x14ac:dyDescent="0.25">
      <c r="F59" s="1"/>
      <c r="H59" s="7"/>
    </row>
    <row r="60" spans="3:8" x14ac:dyDescent="0.25">
      <c r="C60" t="s">
        <v>21</v>
      </c>
      <c r="D60" s="4" t="s">
        <v>29</v>
      </c>
      <c r="E60" t="s">
        <v>6</v>
      </c>
      <c r="F60" s="1">
        <f>F12-F8</f>
        <v>94.4</v>
      </c>
      <c r="G60" t="s">
        <v>11</v>
      </c>
      <c r="H60" s="7" t="s">
        <v>83</v>
      </c>
    </row>
    <row r="61" spans="3:8" x14ac:dyDescent="0.25">
      <c r="C61" t="s">
        <v>106</v>
      </c>
      <c r="D61" s="4" t="s">
        <v>44</v>
      </c>
      <c r="E61" t="s">
        <v>6</v>
      </c>
      <c r="G61" t="s">
        <v>46</v>
      </c>
      <c r="H61" s="7" t="s">
        <v>84</v>
      </c>
    </row>
    <row r="62" spans="3:8" x14ac:dyDescent="0.25">
      <c r="C62" t="s">
        <v>106</v>
      </c>
      <c r="D62" s="4" t="s">
        <v>44</v>
      </c>
      <c r="E62" t="s">
        <v>6</v>
      </c>
      <c r="G62" t="s">
        <v>45</v>
      </c>
      <c r="H62" s="7" t="s">
        <v>85</v>
      </c>
    </row>
    <row r="63" spans="3:8" x14ac:dyDescent="0.25">
      <c r="C63" t="s">
        <v>58</v>
      </c>
      <c r="D63" s="5" t="s">
        <v>60</v>
      </c>
      <c r="E63" t="s">
        <v>6</v>
      </c>
      <c r="F63" s="2"/>
      <c r="G63" t="s">
        <v>20</v>
      </c>
      <c r="H63" s="7" t="s">
        <v>86</v>
      </c>
    </row>
    <row r="64" spans="3:8" x14ac:dyDescent="0.25">
      <c r="C64" t="s">
        <v>59</v>
      </c>
      <c r="D64" s="5" t="s">
        <v>61</v>
      </c>
      <c r="E64" t="s">
        <v>6</v>
      </c>
      <c r="F64" s="2"/>
      <c r="G64" t="s">
        <v>20</v>
      </c>
      <c r="H64" s="7" t="s">
        <v>87</v>
      </c>
    </row>
    <row r="65" spans="1:144" x14ac:dyDescent="0.25">
      <c r="A65" t="s">
        <v>30</v>
      </c>
      <c r="B65" t="s">
        <v>48</v>
      </c>
      <c r="C65" t="s">
        <v>31</v>
      </c>
      <c r="D65" s="4" t="s">
        <v>33</v>
      </c>
      <c r="E65" t="s">
        <v>6</v>
      </c>
      <c r="G65" t="s">
        <v>20</v>
      </c>
      <c r="H65" s="7" t="s">
        <v>88</v>
      </c>
    </row>
    <row r="66" spans="1:144" x14ac:dyDescent="0.25">
      <c r="B66" t="s">
        <v>48</v>
      </c>
      <c r="C66" t="s">
        <v>32</v>
      </c>
      <c r="D66" s="4" t="s">
        <v>34</v>
      </c>
      <c r="E66" t="s">
        <v>6</v>
      </c>
      <c r="G66" t="s">
        <v>20</v>
      </c>
      <c r="H66" s="7" t="s">
        <v>89</v>
      </c>
    </row>
    <row r="67" spans="1:144" x14ac:dyDescent="0.25">
      <c r="B67" t="s">
        <v>48</v>
      </c>
      <c r="C67" t="s">
        <v>64</v>
      </c>
      <c r="D67" s="4" t="s">
        <v>41</v>
      </c>
      <c r="E67" t="s">
        <v>6</v>
      </c>
      <c r="F67" s="1"/>
      <c r="G67" t="s">
        <v>43</v>
      </c>
      <c r="H67" s="7" t="s">
        <v>104</v>
      </c>
      <c r="I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</row>
    <row r="68" spans="1:144" x14ac:dyDescent="0.25">
      <c r="B68" t="s">
        <v>48</v>
      </c>
      <c r="C68" t="s">
        <v>65</v>
      </c>
      <c r="D68" s="4" t="s">
        <v>42</v>
      </c>
      <c r="E68" t="s">
        <v>6</v>
      </c>
      <c r="F68" s="1"/>
      <c r="G68" t="s">
        <v>43</v>
      </c>
      <c r="H68" s="7" t="s">
        <v>105</v>
      </c>
      <c r="I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</row>
    <row r="69" spans="1:144" x14ac:dyDescent="0.25">
      <c r="B69" t="s">
        <v>48</v>
      </c>
      <c r="C69" t="s">
        <v>70</v>
      </c>
      <c r="D69" s="5" t="s">
        <v>37</v>
      </c>
      <c r="E69" t="s">
        <v>6</v>
      </c>
      <c r="G69" t="s">
        <v>20</v>
      </c>
      <c r="H69" s="7" t="s">
        <v>90</v>
      </c>
    </row>
    <row r="70" spans="1:144" x14ac:dyDescent="0.25">
      <c r="B70" t="s">
        <v>48</v>
      </c>
      <c r="C70" t="s">
        <v>71</v>
      </c>
      <c r="D70" s="5" t="s">
        <v>38</v>
      </c>
      <c r="E70" t="s">
        <v>6</v>
      </c>
      <c r="G70" t="s">
        <v>20</v>
      </c>
      <c r="H70" s="7" t="s">
        <v>91</v>
      </c>
    </row>
    <row r="71" spans="1:144" x14ac:dyDescent="0.25">
      <c r="B71" t="s">
        <v>68</v>
      </c>
      <c r="C71" t="s">
        <v>72</v>
      </c>
      <c r="D71" s="5" t="s">
        <v>37</v>
      </c>
      <c r="E71" t="s">
        <v>6</v>
      </c>
      <c r="G71" t="s">
        <v>20</v>
      </c>
      <c r="H71" s="7" t="s">
        <v>92</v>
      </c>
    </row>
    <row r="72" spans="1:144" x14ac:dyDescent="0.25">
      <c r="B72" t="s">
        <v>68</v>
      </c>
      <c r="C72" t="s">
        <v>73</v>
      </c>
      <c r="D72" s="5" t="s">
        <v>38</v>
      </c>
      <c r="E72" t="s">
        <v>6</v>
      </c>
      <c r="G72" t="s">
        <v>20</v>
      </c>
      <c r="H72" s="7" t="s">
        <v>93</v>
      </c>
    </row>
    <row r="73" spans="1:144" x14ac:dyDescent="0.25">
      <c r="B73" t="s">
        <v>69</v>
      </c>
      <c r="C73" t="s">
        <v>74</v>
      </c>
      <c r="D73" s="5" t="s">
        <v>37</v>
      </c>
      <c r="E73" t="s">
        <v>6</v>
      </c>
      <c r="G73" t="s">
        <v>20</v>
      </c>
      <c r="H73" s="7" t="s">
        <v>94</v>
      </c>
    </row>
    <row r="74" spans="1:144" x14ac:dyDescent="0.25">
      <c r="B74" t="s">
        <v>69</v>
      </c>
      <c r="C74" t="s">
        <v>75</v>
      </c>
      <c r="D74" s="5" t="s">
        <v>38</v>
      </c>
      <c r="E74" t="s">
        <v>6</v>
      </c>
      <c r="G74" t="s">
        <v>20</v>
      </c>
      <c r="H74" s="7" t="s">
        <v>95</v>
      </c>
    </row>
    <row r="75" spans="1:144" x14ac:dyDescent="0.25">
      <c r="B75" t="s">
        <v>48</v>
      </c>
      <c r="C75" t="s">
        <v>78</v>
      </c>
      <c r="D75" s="5" t="s">
        <v>80</v>
      </c>
      <c r="E75" t="s">
        <v>6</v>
      </c>
      <c r="G75" t="s">
        <v>20</v>
      </c>
      <c r="H75" s="7" t="s">
        <v>96</v>
      </c>
    </row>
    <row r="76" spans="1:144" x14ac:dyDescent="0.25">
      <c r="B76" t="s">
        <v>48</v>
      </c>
      <c r="C76" t="s">
        <v>79</v>
      </c>
      <c r="D76" s="5" t="s">
        <v>81</v>
      </c>
      <c r="E76" t="s">
        <v>6</v>
      </c>
      <c r="G76" t="s">
        <v>20</v>
      </c>
      <c r="H76" s="7" t="s">
        <v>97</v>
      </c>
    </row>
    <row r="77" spans="1:144" x14ac:dyDescent="0.25">
      <c r="B77" t="s">
        <v>48</v>
      </c>
      <c r="C77" t="s">
        <v>76</v>
      </c>
      <c r="D77" s="5" t="s">
        <v>37</v>
      </c>
      <c r="E77" t="s">
        <v>6</v>
      </c>
      <c r="G77" t="s">
        <v>20</v>
      </c>
      <c r="H77" s="7" t="s">
        <v>98</v>
      </c>
    </row>
    <row r="78" spans="1:144" x14ac:dyDescent="0.25">
      <c r="B78" t="s">
        <v>48</v>
      </c>
      <c r="C78" t="s">
        <v>77</v>
      </c>
      <c r="D78" s="5" t="s">
        <v>38</v>
      </c>
      <c r="E78" t="s">
        <v>6</v>
      </c>
      <c r="G78" t="s">
        <v>20</v>
      </c>
      <c r="H78" s="7"/>
    </row>
    <row r="79" spans="1:144" x14ac:dyDescent="0.25">
      <c r="B79" t="s">
        <v>48</v>
      </c>
      <c r="C79" t="s">
        <v>35</v>
      </c>
      <c r="D79" s="4" t="s">
        <v>39</v>
      </c>
      <c r="E79" t="s">
        <v>6</v>
      </c>
      <c r="G79" t="s">
        <v>11</v>
      </c>
      <c r="H79" s="7" t="s">
        <v>101</v>
      </c>
    </row>
    <row r="80" spans="1:144" x14ac:dyDescent="0.25">
      <c r="B80" t="s">
        <v>48</v>
      </c>
      <c r="C80" t="s">
        <v>36</v>
      </c>
      <c r="D80" s="4" t="s">
        <v>40</v>
      </c>
      <c r="E80" t="s">
        <v>6</v>
      </c>
      <c r="G80" t="s">
        <v>11</v>
      </c>
      <c r="H80" s="7"/>
    </row>
    <row r="81" spans="2:144" x14ac:dyDescent="0.25">
      <c r="B81" t="s">
        <v>48</v>
      </c>
      <c r="C81" t="s">
        <v>49</v>
      </c>
      <c r="D81" s="4" t="s">
        <v>51</v>
      </c>
      <c r="E81" t="s">
        <v>6</v>
      </c>
      <c r="F81" s="1"/>
      <c r="G81" t="s">
        <v>11</v>
      </c>
      <c r="H81" s="7" t="s">
        <v>102</v>
      </c>
      <c r="I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</row>
    <row r="82" spans="2:144" x14ac:dyDescent="0.25">
      <c r="B82" t="s">
        <v>48</v>
      </c>
      <c r="C82" t="s">
        <v>50</v>
      </c>
      <c r="D82" s="4" t="s">
        <v>52</v>
      </c>
      <c r="E82" t="s">
        <v>6</v>
      </c>
      <c r="F82" s="1"/>
      <c r="G82" t="s">
        <v>11</v>
      </c>
      <c r="H82" s="7"/>
      <c r="I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</row>
    <row r="83" spans="2:144" x14ac:dyDescent="0.25">
      <c r="B83" t="s">
        <v>48</v>
      </c>
      <c r="C83" t="s">
        <v>53</v>
      </c>
      <c r="D83" s="4" t="s">
        <v>57</v>
      </c>
      <c r="E83" t="s">
        <v>6</v>
      </c>
      <c r="F83" s="1"/>
      <c r="G83" t="s">
        <v>11</v>
      </c>
      <c r="H83" s="7" t="s">
        <v>103</v>
      </c>
      <c r="I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</row>
    <row r="84" spans="2:144" x14ac:dyDescent="0.25">
      <c r="B84" t="s">
        <v>54</v>
      </c>
      <c r="C84" t="s">
        <v>55</v>
      </c>
      <c r="D84" s="4" t="s">
        <v>56</v>
      </c>
      <c r="E84" t="s">
        <v>6</v>
      </c>
      <c r="G84" t="s">
        <v>46</v>
      </c>
      <c r="H84" s="7" t="s">
        <v>99</v>
      </c>
    </row>
    <row r="85" spans="2:144" x14ac:dyDescent="0.25">
      <c r="B85" t="s">
        <v>54</v>
      </c>
      <c r="C85" t="s">
        <v>55</v>
      </c>
      <c r="D85" s="4" t="s">
        <v>56</v>
      </c>
      <c r="E85" t="s">
        <v>6</v>
      </c>
      <c r="G85" t="s">
        <v>45</v>
      </c>
      <c r="H85" s="7" t="s">
        <v>100</v>
      </c>
    </row>
    <row r="88" spans="2:144" x14ac:dyDescent="0.25">
      <c r="C88" t="s">
        <v>108</v>
      </c>
    </row>
    <row r="89" spans="2:144" x14ac:dyDescent="0.25">
      <c r="C89" t="s">
        <v>109</v>
      </c>
      <c r="D89" s="4" t="s">
        <v>115</v>
      </c>
      <c r="E89" t="s">
        <v>6</v>
      </c>
      <c r="F89" s="1"/>
      <c r="G89" t="s">
        <v>11</v>
      </c>
    </row>
    <row r="90" spans="2:144" x14ac:dyDescent="0.25">
      <c r="C90" t="s">
        <v>110</v>
      </c>
      <c r="D90" s="4" t="s">
        <v>116</v>
      </c>
      <c r="E90" t="s">
        <v>6</v>
      </c>
      <c r="F90" s="1"/>
      <c r="G90" t="s">
        <v>11</v>
      </c>
    </row>
    <row r="91" spans="2:144" x14ac:dyDescent="0.25">
      <c r="C91" t="s">
        <v>111</v>
      </c>
      <c r="D91" s="4" t="s">
        <v>114</v>
      </c>
      <c r="E91" t="s">
        <v>6</v>
      </c>
      <c r="F91" s="1"/>
      <c r="G91" t="s">
        <v>46</v>
      </c>
    </row>
    <row r="92" spans="2:144" x14ac:dyDescent="0.25">
      <c r="C92" t="s">
        <v>112</v>
      </c>
      <c r="D92" s="4" t="s">
        <v>41</v>
      </c>
      <c r="E92" t="s">
        <v>6</v>
      </c>
      <c r="F92" s="1"/>
      <c r="G92" t="s">
        <v>43</v>
      </c>
    </row>
    <row r="93" spans="2:144" x14ac:dyDescent="0.25">
      <c r="C93" t="s">
        <v>113</v>
      </c>
      <c r="D93" s="4" t="s">
        <v>42</v>
      </c>
      <c r="E93" t="s">
        <v>6</v>
      </c>
      <c r="F93" s="1"/>
      <c r="G93" t="s">
        <v>43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EDE91-9550-4FC7-8A08-B89015D167CA}">
  <sheetPr codeName="Arkusz2"/>
  <dimension ref="A1:G14"/>
  <sheetViews>
    <sheetView tabSelected="1" workbookViewId="0">
      <selection activeCell="E2" sqref="E2"/>
    </sheetView>
  </sheetViews>
  <sheetFormatPr defaultRowHeight="15" x14ac:dyDescent="0.25"/>
  <cols>
    <col min="3" max="3" width="14" customWidth="1"/>
    <col min="4" max="4" width="14.42578125" customWidth="1"/>
    <col min="5" max="5" width="13.28515625" customWidth="1"/>
    <col min="6" max="6" width="13" customWidth="1"/>
    <col min="7" max="7" width="10.85546875" customWidth="1"/>
  </cols>
  <sheetData>
    <row r="1" spans="1:7" x14ac:dyDescent="0.25">
      <c r="C1" t="s">
        <v>192</v>
      </c>
      <c r="D1" t="s">
        <v>193</v>
      </c>
      <c r="E1" t="s">
        <v>194</v>
      </c>
    </row>
    <row r="2" spans="1:7" x14ac:dyDescent="0.25">
      <c r="A2" s="20" t="s">
        <v>191</v>
      </c>
      <c r="B2" s="20"/>
      <c r="C2">
        <f>Sprawdzanie!F16</f>
        <v>0.2</v>
      </c>
      <c r="D2" s="10">
        <f>(POWER((C2/2),2))*PI()</f>
        <v>3.1415926535897934E-2</v>
      </c>
      <c r="E2">
        <f>Sprawdzanie!F17</f>
        <v>0.03</v>
      </c>
    </row>
    <row r="3" spans="1:7" x14ac:dyDescent="0.25">
      <c r="A3" s="20" t="s">
        <v>190</v>
      </c>
      <c r="B3" s="20"/>
      <c r="C3">
        <f>Sprawdzanie!F31</f>
        <v>0.2</v>
      </c>
      <c r="D3" s="10">
        <f>(POWER((C3/2),2))*PI()</f>
        <v>3.1415926535897934E-2</v>
      </c>
      <c r="E3">
        <f>Sprawdzanie!F32</f>
        <v>0.03</v>
      </c>
    </row>
    <row r="4" spans="1:7" x14ac:dyDescent="0.25">
      <c r="C4" t="s">
        <v>178</v>
      </c>
      <c r="D4" s="5" t="s">
        <v>179</v>
      </c>
      <c r="E4" t="s">
        <v>187</v>
      </c>
      <c r="F4" t="s">
        <v>188</v>
      </c>
      <c r="G4" t="s">
        <v>180</v>
      </c>
    </row>
    <row r="5" spans="1:7" x14ac:dyDescent="0.25">
      <c r="A5" s="19" t="s">
        <v>181</v>
      </c>
      <c r="B5" t="s">
        <v>182</v>
      </c>
      <c r="C5" s="15">
        <f>((C$2*((Sprawdzanie!F22/1000)/D$2))/Sprawdzanie!F$5)</f>
        <v>159344.63909081297</v>
      </c>
      <c r="D5" s="18">
        <v>0.59081601063222466</v>
      </c>
      <c r="E5" s="17">
        <f>1/(SQRT(D5))</f>
        <v>1.3009897414682556</v>
      </c>
      <c r="F5" s="16">
        <f>(-2)*LOG10((2.51/(C5*SQRT(D5))/(((E$2/1000)/C$2)/3.71)))</f>
        <v>0.59021442549510794</v>
      </c>
      <c r="G5">
        <f>F5-E5</f>
        <v>-0.71077531597314769</v>
      </c>
    </row>
    <row r="6" spans="1:7" x14ac:dyDescent="0.25">
      <c r="A6" s="19"/>
      <c r="B6" t="s">
        <v>183</v>
      </c>
      <c r="C6" s="15">
        <f>((C$2*((Sprawdzanie!F23/1000)/D$2))/Sprawdzanie!F$5)</f>
        <v>158712.31909442085</v>
      </c>
      <c r="D6" s="18">
        <v>0.59270088710211188</v>
      </c>
      <c r="E6" s="17">
        <f t="shared" ref="E6:E14" si="0">1/(SQRT(D6))</f>
        <v>1.2989194242944235</v>
      </c>
      <c r="F6" s="16">
        <f t="shared" ref="F6:F9" si="1">(-2)*LOG10((2.51/(C6*SQRT(D6))/(((E$2/1000)/C$2)/3.71)))</f>
        <v>0.58814410832127584</v>
      </c>
      <c r="G6">
        <f t="shared" ref="G6:G14" si="2">F6-E6</f>
        <v>-0.71077531597314769</v>
      </c>
    </row>
    <row r="7" spans="1:7" x14ac:dyDescent="0.25">
      <c r="A7" s="19"/>
      <c r="B7" t="s">
        <v>184</v>
      </c>
      <c r="C7" s="15">
        <f>((C$2*((Sprawdzanie!F24/1000)/D$2))/Sprawdzanie!F$5)</f>
        <v>158079.99909802875</v>
      </c>
      <c r="D7" s="18">
        <v>0.59460115758350784</v>
      </c>
      <c r="E7" s="17">
        <f t="shared" si="0"/>
        <v>1.2968421717879082</v>
      </c>
      <c r="F7" s="16">
        <f t="shared" si="1"/>
        <v>0.58606685581476037</v>
      </c>
      <c r="G7">
        <f t="shared" si="2"/>
        <v>-0.7107753159731478</v>
      </c>
    </row>
    <row r="8" spans="1:7" x14ac:dyDescent="0.25">
      <c r="A8" s="19"/>
      <c r="B8" t="s">
        <v>185</v>
      </c>
      <c r="C8" s="15">
        <f>((C$2*((Sprawdzanie!F25/1000)/D$2))/Sprawdzanie!F$5)</f>
        <v>157447.6791016366</v>
      </c>
      <c r="D8" s="18">
        <v>0.59651701661033196</v>
      </c>
      <c r="E8" s="17">
        <f t="shared" si="0"/>
        <v>1.2947579354047265</v>
      </c>
      <c r="F8" s="16">
        <f t="shared" si="1"/>
        <v>0.58398261943157903</v>
      </c>
      <c r="G8">
        <f t="shared" si="2"/>
        <v>-0.71077531597314747</v>
      </c>
    </row>
    <row r="9" spans="1:7" x14ac:dyDescent="0.25">
      <c r="A9" s="19"/>
      <c r="B9" t="s">
        <v>186</v>
      </c>
      <c r="C9" s="15">
        <f>((C$2*((Sprawdzanie!F26/1000)/D$2))/Sprawdzanie!F$5)</f>
        <v>156815.35910524448</v>
      </c>
      <c r="D9" s="18">
        <v>0.59844866202634339</v>
      </c>
      <c r="E9" s="17">
        <f t="shared" si="0"/>
        <v>1.2926666660799839</v>
      </c>
      <c r="F9" s="16">
        <f t="shared" si="1"/>
        <v>0.58189135010683624</v>
      </c>
      <c r="G9">
        <f t="shared" si="2"/>
        <v>-0.71077531597314769</v>
      </c>
    </row>
    <row r="10" spans="1:7" x14ac:dyDescent="0.25">
      <c r="A10" s="19" t="s">
        <v>189</v>
      </c>
      <c r="B10" t="s">
        <v>182</v>
      </c>
      <c r="C10" s="15">
        <f>((C$3*((Sprawdzanie!F22/1000)/D$3))/Sprawdzanie!F$5)</f>
        <v>159344.63909081297</v>
      </c>
      <c r="D10" s="18">
        <v>1.2203239209029924</v>
      </c>
      <c r="E10" s="17">
        <f t="shared" si="0"/>
        <v>0.9052372941051734</v>
      </c>
      <c r="F10" s="16">
        <f>(-2)*LOG10((2.51/(C10*SQRT(D10))/(((E$3/1000)/C$3)/3.71)))</f>
        <v>0.90523729410517306</v>
      </c>
      <c r="G10">
        <f t="shared" si="2"/>
        <v>0</v>
      </c>
    </row>
    <row r="11" spans="1:7" x14ac:dyDescent="0.25">
      <c r="A11" s="19"/>
      <c r="B11" t="s">
        <v>183</v>
      </c>
      <c r="C11" s="15">
        <f>((C$3*((Sprawdzanie!F23/1000)/D$3))/Sprawdzanie!F$5)</f>
        <v>158712.31909442085</v>
      </c>
      <c r="D11" s="18">
        <v>1.2250874955740312</v>
      </c>
      <c r="E11" s="17">
        <f t="shared" si="0"/>
        <v>0.9034756381264375</v>
      </c>
      <c r="F11" s="16">
        <f t="shared" ref="F11:F14" si="3">(-2)*LOG10((2.51/(C11*SQRT(D11))/(((E$3/1000)/C$3)/3.71)))</f>
        <v>0.90347563812643739</v>
      </c>
      <c r="G11">
        <f t="shared" si="2"/>
        <v>0</v>
      </c>
    </row>
    <row r="12" spans="1:7" x14ac:dyDescent="0.25">
      <c r="A12" s="19"/>
      <c r="B12" t="s">
        <v>184</v>
      </c>
      <c r="C12" s="15">
        <f>((C$3*((Sprawdzanie!F24/1000)/D$3))/Sprawdzanie!F$5)</f>
        <v>158079.99909802875</v>
      </c>
      <c r="D12" s="18">
        <v>1.2298935850152604</v>
      </c>
      <c r="E12" s="17">
        <f t="shared" si="0"/>
        <v>0.90170864173526277</v>
      </c>
      <c r="F12" s="16">
        <f t="shared" si="3"/>
        <v>0.90170864173526277</v>
      </c>
      <c r="G12">
        <f t="shared" si="2"/>
        <v>0</v>
      </c>
    </row>
    <row r="13" spans="1:7" x14ac:dyDescent="0.25">
      <c r="A13" s="19"/>
      <c r="B13" t="s">
        <v>185</v>
      </c>
      <c r="C13" s="15">
        <f>((C$3*((Sprawdzanie!F25/1000)/D$3))/Sprawdzanie!F$5)</f>
        <v>157447.6791016366</v>
      </c>
      <c r="D13" s="18">
        <v>1.23474276017704</v>
      </c>
      <c r="E13" s="17">
        <f t="shared" si="0"/>
        <v>0.89993627068515081</v>
      </c>
      <c r="F13" s="16">
        <f t="shared" si="3"/>
        <v>0.8999362706851507</v>
      </c>
      <c r="G13">
        <f t="shared" si="2"/>
        <v>0</v>
      </c>
    </row>
    <row r="14" spans="1:7" x14ac:dyDescent="0.25">
      <c r="A14" s="19"/>
      <c r="B14" t="s">
        <v>186</v>
      </c>
      <c r="C14" s="15">
        <f>((C$3*((Sprawdzanie!F26/1000)/D$3))/Sprawdzanie!F$5)</f>
        <v>156815.35910524448</v>
      </c>
      <c r="D14" s="18">
        <v>1.2396356021873876</v>
      </c>
      <c r="E14" s="17">
        <f t="shared" si="0"/>
        <v>0.89815849039101292</v>
      </c>
      <c r="F14" s="16">
        <f t="shared" si="3"/>
        <v>0.89815849039101259</v>
      </c>
      <c r="G14">
        <f t="shared" si="2"/>
        <v>0</v>
      </c>
    </row>
  </sheetData>
  <mergeCells count="4">
    <mergeCell ref="A5:A9"/>
    <mergeCell ref="A10:A14"/>
    <mergeCell ref="A2:B2"/>
    <mergeCell ref="A3:B3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Sprawdzanie</vt:lpstr>
      <vt:lpstr>Lambda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</dc:creator>
  <cp:lastModifiedBy>Kuba</cp:lastModifiedBy>
  <dcterms:created xsi:type="dcterms:W3CDTF">2019-02-18T07:13:39Z</dcterms:created>
  <dcterms:modified xsi:type="dcterms:W3CDTF">2020-12-26T13:49:49Z</dcterms:modified>
</cp:coreProperties>
</file>