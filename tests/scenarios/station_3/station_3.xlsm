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E:\# Programowanie\Pompa\tests\scenarios\station_3\"/>
    </mc:Choice>
  </mc:AlternateContent>
  <xr:revisionPtr revIDLastSave="0" documentId="13_ncr:1_{BC844694-4DDA-456C-8F9E-5AD4EA02D055}" xr6:coauthVersionLast="46" xr6:coauthVersionMax="46" xr10:uidLastSave="{00000000-0000-0000-0000-000000000000}"/>
  <bookViews>
    <workbookView xWindow="-28920" yWindow="-120" windowWidth="29040" windowHeight="15840" activeTab="2" xr2:uid="{5F5C5E87-60CE-4FB1-A69B-69A68FF89EEB}"/>
  </bookViews>
  <sheets>
    <sheet name="1 pompa" sheetId="1" r:id="rId1"/>
    <sheet name="2 pompy" sheetId="3" r:id="rId2"/>
    <sheet name="3 pompy" sheetId="5" r:id="rId3"/>
    <sheet name="3 pompy STARE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3" i="5" l="1"/>
  <c r="M33" i="5" s="1"/>
  <c r="M34" i="5" s="1"/>
  <c r="E51" i="5"/>
  <c r="E50" i="5"/>
  <c r="Z49" i="5"/>
  <c r="Z128" i="5" s="1"/>
  <c r="Y49" i="5"/>
  <c r="X49" i="5"/>
  <c r="X128" i="5" s="1"/>
  <c r="W49" i="5"/>
  <c r="W128" i="5" s="1"/>
  <c r="V49" i="5"/>
  <c r="V123" i="5" s="1"/>
  <c r="U49" i="5"/>
  <c r="U103" i="5" s="1"/>
  <c r="T49" i="5"/>
  <c r="T108" i="5" s="1"/>
  <c r="S49" i="5"/>
  <c r="S123" i="5" s="1"/>
  <c r="R49" i="5"/>
  <c r="R98" i="5" s="1"/>
  <c r="Q49" i="5"/>
  <c r="Q118" i="5" s="1"/>
  <c r="P49" i="5"/>
  <c r="P113" i="5" s="1"/>
  <c r="O49" i="5"/>
  <c r="N49" i="5"/>
  <c r="M49" i="5"/>
  <c r="Z46" i="5"/>
  <c r="Y46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Z45" i="5"/>
  <c r="Y45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Z43" i="5"/>
  <c r="Y43" i="5"/>
  <c r="X43" i="5"/>
  <c r="W43" i="5"/>
  <c r="V43" i="5"/>
  <c r="U43" i="5"/>
  <c r="T43" i="5"/>
  <c r="S43" i="5"/>
  <c r="R43" i="5"/>
  <c r="Q43" i="5"/>
  <c r="P43" i="5"/>
  <c r="O43" i="5"/>
  <c r="N43" i="5"/>
  <c r="M43" i="5"/>
  <c r="L43" i="5"/>
  <c r="K43" i="5"/>
  <c r="Z42" i="5"/>
  <c r="Y42" i="5"/>
  <c r="X42" i="5"/>
  <c r="W42" i="5"/>
  <c r="V42" i="5"/>
  <c r="U42" i="5"/>
  <c r="T42" i="5"/>
  <c r="S42" i="5"/>
  <c r="R42" i="5"/>
  <c r="Q42" i="5"/>
  <c r="P42" i="5"/>
  <c r="O42" i="5"/>
  <c r="N42" i="5"/>
  <c r="M42" i="5"/>
  <c r="L42" i="5"/>
  <c r="K42" i="5"/>
  <c r="E36" i="5"/>
  <c r="E38" i="5" s="1"/>
  <c r="K33" i="5" s="1"/>
  <c r="K34" i="5"/>
  <c r="E34" i="5"/>
  <c r="E35" i="5" s="1"/>
  <c r="E33" i="5"/>
  <c r="H29" i="5"/>
  <c r="G29" i="5"/>
  <c r="E29" i="5" s="1"/>
  <c r="H28" i="5"/>
  <c r="G28" i="5"/>
  <c r="E28" i="5"/>
  <c r="K28" i="5" s="1"/>
  <c r="L28" i="5" s="1"/>
  <c r="X27" i="5"/>
  <c r="Y27" i="5" s="1"/>
  <c r="H27" i="5"/>
  <c r="G27" i="5"/>
  <c r="E27" i="5"/>
  <c r="K27" i="5" s="1"/>
  <c r="L27" i="5" s="1"/>
  <c r="H26" i="5"/>
  <c r="G26" i="5"/>
  <c r="E26" i="5" s="1"/>
  <c r="H25" i="5"/>
  <c r="G25" i="5"/>
  <c r="E25" i="5"/>
  <c r="X25" i="5" s="1"/>
  <c r="Y25" i="5" s="1"/>
  <c r="AH25" i="5" s="1"/>
  <c r="H24" i="5"/>
  <c r="G24" i="5"/>
  <c r="E24" i="5"/>
  <c r="K24" i="5" s="1"/>
  <c r="L24" i="5" s="1"/>
  <c r="H23" i="5"/>
  <c r="G23" i="5"/>
  <c r="E23" i="5" s="1"/>
  <c r="H22" i="5"/>
  <c r="G22" i="5"/>
  <c r="E22" i="5" s="1"/>
  <c r="F22" i="5" s="1"/>
  <c r="H21" i="5"/>
  <c r="G21" i="5"/>
  <c r="E21" i="5"/>
  <c r="K21" i="5" s="1"/>
  <c r="L21" i="5" s="1"/>
  <c r="H20" i="5"/>
  <c r="G20" i="5"/>
  <c r="E20" i="5"/>
  <c r="F20" i="5" s="1"/>
  <c r="H19" i="5"/>
  <c r="G19" i="5"/>
  <c r="E19" i="5" s="1"/>
  <c r="H18" i="5"/>
  <c r="G18" i="5"/>
  <c r="E18" i="5" s="1"/>
  <c r="F18" i="5" s="1"/>
  <c r="H17" i="5"/>
  <c r="G17" i="5"/>
  <c r="E17" i="5"/>
  <c r="F17" i="5" s="1"/>
  <c r="H16" i="5"/>
  <c r="G16" i="5"/>
  <c r="E16" i="5" s="1"/>
  <c r="F16" i="5" s="1"/>
  <c r="H15" i="5"/>
  <c r="G15" i="5"/>
  <c r="E15" i="5" s="1"/>
  <c r="E42" i="3" a="1"/>
  <c r="E42" i="3" s="1"/>
  <c r="E51" i="3"/>
  <c r="E50" i="3"/>
  <c r="M99" i="1"/>
  <c r="M101" i="1" s="1"/>
  <c r="N99" i="1"/>
  <c r="O99" i="1"/>
  <c r="P99" i="1"/>
  <c r="P101" i="1" s="1"/>
  <c r="Q99" i="1"/>
  <c r="R99" i="1"/>
  <c r="S99" i="1"/>
  <c r="T99" i="1"/>
  <c r="U99" i="1"/>
  <c r="U100" i="1" s="1"/>
  <c r="V99" i="1"/>
  <c r="V101" i="1" s="1"/>
  <c r="W99" i="1"/>
  <c r="W101" i="1" s="1"/>
  <c r="X99" i="1"/>
  <c r="X100" i="1" s="1"/>
  <c r="Y99" i="1"/>
  <c r="Y101" i="1" s="1"/>
  <c r="L99" i="1"/>
  <c r="L101" i="1" s="1"/>
  <c r="I19" i="1"/>
  <c r="I18" i="1"/>
  <c r="N101" i="1"/>
  <c r="O101" i="1"/>
  <c r="Q101" i="1"/>
  <c r="R101" i="1"/>
  <c r="S101" i="1"/>
  <c r="T101" i="1"/>
  <c r="U101" i="1"/>
  <c r="X101" i="1"/>
  <c r="N100" i="1"/>
  <c r="O100" i="1"/>
  <c r="Q100" i="1"/>
  <c r="R100" i="1"/>
  <c r="S100" i="1"/>
  <c r="T100" i="1"/>
  <c r="L43" i="3"/>
  <c r="L42" i="3"/>
  <c r="G18" i="1"/>
  <c r="G19" i="1"/>
  <c r="Y49" i="4"/>
  <c r="Y126" i="4" s="1"/>
  <c r="X49" i="4"/>
  <c r="X126" i="4" s="1"/>
  <c r="W49" i="4"/>
  <c r="W121" i="4" s="1"/>
  <c r="V49" i="4"/>
  <c r="U49" i="4"/>
  <c r="U126" i="4" s="1"/>
  <c r="T49" i="4"/>
  <c r="T126" i="4" s="1"/>
  <c r="S49" i="4"/>
  <c r="S126" i="4" s="1"/>
  <c r="R49" i="4"/>
  <c r="R121" i="4" s="1"/>
  <c r="Q49" i="4"/>
  <c r="Q121" i="4" s="1"/>
  <c r="P49" i="4"/>
  <c r="P126" i="4" s="1"/>
  <c r="O49" i="4"/>
  <c r="O126" i="4" s="1"/>
  <c r="N49" i="4"/>
  <c r="M49" i="4"/>
  <c r="M126" i="4" s="1"/>
  <c r="L49" i="4"/>
  <c r="L96" i="4" s="1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E33" i="4"/>
  <c r="H29" i="4"/>
  <c r="G29" i="4"/>
  <c r="E29" i="4" s="1"/>
  <c r="H28" i="4"/>
  <c r="G28" i="4"/>
  <c r="E28" i="4" s="1"/>
  <c r="X28" i="4" s="1"/>
  <c r="H27" i="4"/>
  <c r="G27" i="4"/>
  <c r="E27" i="4" s="1"/>
  <c r="H26" i="4"/>
  <c r="G26" i="4"/>
  <c r="E26" i="4" s="1"/>
  <c r="H25" i="4"/>
  <c r="G25" i="4"/>
  <c r="E25" i="4" s="1"/>
  <c r="X25" i="4" s="1"/>
  <c r="H24" i="4"/>
  <c r="G24" i="4"/>
  <c r="E24" i="4" s="1"/>
  <c r="H23" i="4"/>
  <c r="G23" i="4"/>
  <c r="E23" i="4" s="1"/>
  <c r="F23" i="4" s="1"/>
  <c r="H22" i="4"/>
  <c r="G22" i="4"/>
  <c r="E22" i="4" s="1"/>
  <c r="X22" i="4" s="1"/>
  <c r="H21" i="4"/>
  <c r="G21" i="4"/>
  <c r="E21" i="4" s="1"/>
  <c r="H20" i="4"/>
  <c r="G20" i="4"/>
  <c r="E20" i="4" s="1"/>
  <c r="K20" i="4" s="1"/>
  <c r="H19" i="4"/>
  <c r="G19" i="4"/>
  <c r="E19" i="4" s="1"/>
  <c r="H18" i="4"/>
  <c r="G18" i="4"/>
  <c r="E18" i="4" s="1"/>
  <c r="H17" i="4"/>
  <c r="G17" i="4"/>
  <c r="E17" i="4" s="1"/>
  <c r="F17" i="4" s="1"/>
  <c r="H16" i="4"/>
  <c r="G16" i="4"/>
  <c r="E16" i="4" s="1"/>
  <c r="H15" i="4"/>
  <c r="G15" i="4"/>
  <c r="E15" i="4" s="1"/>
  <c r="G10" i="1"/>
  <c r="E33" i="3"/>
  <c r="E77" i="1"/>
  <c r="G16" i="3"/>
  <c r="E16" i="3" s="1"/>
  <c r="K16" i="3" s="1"/>
  <c r="G17" i="3"/>
  <c r="E17" i="3" s="1"/>
  <c r="X17" i="3" s="1"/>
  <c r="G18" i="3"/>
  <c r="E18" i="3" s="1"/>
  <c r="X18" i="3" s="1"/>
  <c r="G19" i="3"/>
  <c r="E19" i="3" s="1"/>
  <c r="G20" i="3"/>
  <c r="E20" i="3" s="1"/>
  <c r="K20" i="3" s="1"/>
  <c r="G21" i="3"/>
  <c r="E21" i="3" s="1"/>
  <c r="F21" i="3" s="1"/>
  <c r="G22" i="3"/>
  <c r="E22" i="3" s="1"/>
  <c r="X22" i="3" s="1"/>
  <c r="G23" i="3"/>
  <c r="E23" i="3" s="1"/>
  <c r="F23" i="3" s="1"/>
  <c r="G24" i="3"/>
  <c r="E24" i="3" s="1"/>
  <c r="X24" i="3" s="1"/>
  <c r="G25" i="3"/>
  <c r="E25" i="3" s="1"/>
  <c r="K25" i="3" s="1"/>
  <c r="G26" i="3"/>
  <c r="E26" i="3" s="1"/>
  <c r="K26" i="3" s="1"/>
  <c r="G27" i="3"/>
  <c r="E27" i="3" s="1"/>
  <c r="X27" i="3" s="1"/>
  <c r="G28" i="3"/>
  <c r="E28" i="3" s="1"/>
  <c r="X28" i="3" s="1"/>
  <c r="G29" i="3"/>
  <c r="E29" i="3" s="1"/>
  <c r="X29" i="3" s="1"/>
  <c r="G15" i="3"/>
  <c r="E15" i="3" s="1"/>
  <c r="K15" i="3" s="1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15" i="3"/>
  <c r="Z49" i="3"/>
  <c r="Z128" i="3" s="1"/>
  <c r="Y49" i="3"/>
  <c r="Y128" i="3" s="1"/>
  <c r="X49" i="3"/>
  <c r="X128" i="3" s="1"/>
  <c r="W49" i="3"/>
  <c r="V49" i="3"/>
  <c r="U49" i="3"/>
  <c r="U123" i="3" s="1"/>
  <c r="T49" i="3"/>
  <c r="T118" i="3" s="1"/>
  <c r="S49" i="3"/>
  <c r="S128" i="3" s="1"/>
  <c r="R49" i="3"/>
  <c r="Q49" i="3"/>
  <c r="P49" i="3"/>
  <c r="P83" i="3" s="1"/>
  <c r="O49" i="3"/>
  <c r="O123" i="3" s="1"/>
  <c r="N49" i="3"/>
  <c r="M49" i="3"/>
  <c r="M128" i="3" s="1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K43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K42" i="3"/>
  <c r="E39" i="1"/>
  <c r="E68" i="1"/>
  <c r="E69" i="1"/>
  <c r="E70" i="1"/>
  <c r="E71" i="1"/>
  <c r="E72" i="1"/>
  <c r="E73" i="1"/>
  <c r="E60" i="1"/>
  <c r="F60" i="1" s="1"/>
  <c r="E61" i="1"/>
  <c r="E62" i="1"/>
  <c r="F62" i="1" s="1"/>
  <c r="E63" i="1"/>
  <c r="F63" i="1" s="1"/>
  <c r="E64" i="1"/>
  <c r="F64" i="1" s="1"/>
  <c r="E65" i="1"/>
  <c r="F65" i="1" s="1"/>
  <c r="E66" i="1"/>
  <c r="F66" i="1" s="1"/>
  <c r="E67" i="1"/>
  <c r="F67" i="1" s="1"/>
  <c r="E59" i="1"/>
  <c r="M93" i="1"/>
  <c r="M122" i="1" s="1"/>
  <c r="N93" i="1"/>
  <c r="N142" i="1" s="1"/>
  <c r="O93" i="1"/>
  <c r="O142" i="1" s="1"/>
  <c r="P93" i="1"/>
  <c r="P167" i="1" s="1"/>
  <c r="Q93" i="1"/>
  <c r="Q167" i="1" s="1"/>
  <c r="R93" i="1"/>
  <c r="R167" i="1" s="1"/>
  <c r="S93" i="1"/>
  <c r="S157" i="1" s="1"/>
  <c r="T93" i="1"/>
  <c r="T172" i="1" s="1"/>
  <c r="U93" i="1"/>
  <c r="U172" i="1" s="1"/>
  <c r="V93" i="1"/>
  <c r="V172" i="1" s="1"/>
  <c r="W93" i="1"/>
  <c r="W172" i="1" s="1"/>
  <c r="X93" i="1"/>
  <c r="X172" i="1" s="1"/>
  <c r="Y93" i="1"/>
  <c r="Y172" i="1" s="1"/>
  <c r="L93" i="1"/>
  <c r="L137" i="1" s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K86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G15" i="1"/>
  <c r="E25" i="1"/>
  <c r="G25" i="1" s="1"/>
  <c r="E28" i="1"/>
  <c r="E29" i="1" s="1"/>
  <c r="G35" i="1"/>
  <c r="P89" i="1" s="1"/>
  <c r="E37" i="1"/>
  <c r="G44" i="1"/>
  <c r="V90" i="1" s="1"/>
  <c r="E46" i="1"/>
  <c r="W118" i="5" l="1"/>
  <c r="U108" i="5"/>
  <c r="V108" i="5"/>
  <c r="V113" i="5"/>
  <c r="W123" i="5"/>
  <c r="X123" i="5"/>
  <c r="V128" i="5"/>
  <c r="T113" i="5"/>
  <c r="T118" i="5"/>
  <c r="U123" i="5"/>
  <c r="T103" i="5"/>
  <c r="T123" i="5"/>
  <c r="T98" i="5"/>
  <c r="T128" i="5"/>
  <c r="R118" i="5"/>
  <c r="S98" i="5"/>
  <c r="R103" i="5"/>
  <c r="S128" i="5"/>
  <c r="R108" i="5"/>
  <c r="S113" i="5"/>
  <c r="R88" i="5"/>
  <c r="R113" i="5"/>
  <c r="R93" i="5"/>
  <c r="Q83" i="5"/>
  <c r="Q123" i="5"/>
  <c r="Q108" i="5"/>
  <c r="Q98" i="5"/>
  <c r="Q88" i="5"/>
  <c r="Q128" i="5"/>
  <c r="Q93" i="5"/>
  <c r="Q103" i="5"/>
  <c r="Q113" i="5"/>
  <c r="L34" i="5"/>
  <c r="F15" i="5"/>
  <c r="X15" i="5"/>
  <c r="Y15" i="5" s="1"/>
  <c r="K15" i="5"/>
  <c r="L15" i="5" s="1"/>
  <c r="M15" i="5" s="1"/>
  <c r="K25" i="5"/>
  <c r="L25" i="5" s="1"/>
  <c r="U25" i="5" s="1"/>
  <c r="M24" i="5"/>
  <c r="U24" i="5"/>
  <c r="U21" i="5"/>
  <c r="M21" i="5"/>
  <c r="U28" i="5"/>
  <c r="M28" i="5"/>
  <c r="F19" i="5"/>
  <c r="X19" i="5"/>
  <c r="Y19" i="5" s="1"/>
  <c r="K19" i="5"/>
  <c r="L19" i="5" s="1"/>
  <c r="X23" i="5"/>
  <c r="Y23" i="5" s="1"/>
  <c r="K23" i="5"/>
  <c r="L23" i="5" s="1"/>
  <c r="F23" i="5"/>
  <c r="X28" i="5"/>
  <c r="Y28" i="5" s="1"/>
  <c r="O128" i="5"/>
  <c r="O113" i="5"/>
  <c r="O98" i="5"/>
  <c r="O83" i="5"/>
  <c r="O123" i="5"/>
  <c r="O118" i="5"/>
  <c r="O108" i="5"/>
  <c r="O103" i="5"/>
  <c r="O93" i="5"/>
  <c r="O88" i="5"/>
  <c r="O78" i="5"/>
  <c r="O73" i="5"/>
  <c r="K18" i="5"/>
  <c r="L18" i="5" s="1"/>
  <c r="X24" i="5"/>
  <c r="Y24" i="5" s="1"/>
  <c r="K17" i="5"/>
  <c r="L17" i="5" s="1"/>
  <c r="M48" i="5"/>
  <c r="N33" i="5"/>
  <c r="G30" i="5"/>
  <c r="F30" i="5"/>
  <c r="H30" i="5"/>
  <c r="X16" i="5"/>
  <c r="Y16" i="5" s="1"/>
  <c r="K16" i="5"/>
  <c r="L16" i="5" s="1"/>
  <c r="X21" i="5"/>
  <c r="Y21" i="5" s="1"/>
  <c r="X18" i="5"/>
  <c r="Y18" i="5" s="1"/>
  <c r="X17" i="5"/>
  <c r="Y17" i="5" s="1"/>
  <c r="N128" i="5"/>
  <c r="N113" i="5"/>
  <c r="N98" i="5"/>
  <c r="N83" i="5"/>
  <c r="N68" i="5"/>
  <c r="N108" i="5"/>
  <c r="N103" i="5"/>
  <c r="N118" i="5"/>
  <c r="N93" i="5"/>
  <c r="N73" i="5"/>
  <c r="M27" i="5"/>
  <c r="U27" i="5"/>
  <c r="X29" i="5"/>
  <c r="Y29" i="5" s="1"/>
  <c r="K29" i="5"/>
  <c r="L29" i="5" s="1"/>
  <c r="N123" i="5"/>
  <c r="F21" i="5"/>
  <c r="X20" i="5"/>
  <c r="Y20" i="5" s="1"/>
  <c r="K20" i="5"/>
  <c r="L20" i="5" s="1"/>
  <c r="Z25" i="5"/>
  <c r="Z27" i="5"/>
  <c r="AH27" i="5"/>
  <c r="X26" i="5"/>
  <c r="Y26" i="5" s="1"/>
  <c r="K26" i="5"/>
  <c r="L26" i="5" s="1"/>
  <c r="N88" i="5"/>
  <c r="M128" i="5"/>
  <c r="M123" i="5"/>
  <c r="M118" i="5"/>
  <c r="M108" i="5"/>
  <c r="M103" i="5"/>
  <c r="M93" i="5"/>
  <c r="M88" i="5"/>
  <c r="M78" i="5"/>
  <c r="M73" i="5"/>
  <c r="M63" i="5"/>
  <c r="M113" i="5"/>
  <c r="M98" i="5"/>
  <c r="M83" i="5"/>
  <c r="M68" i="5"/>
  <c r="Y128" i="5"/>
  <c r="Y123" i="5"/>
  <c r="N78" i="5"/>
  <c r="K22" i="5"/>
  <c r="L22" i="5" s="1"/>
  <c r="X22" i="5"/>
  <c r="Y22" i="5" s="1"/>
  <c r="M25" i="5"/>
  <c r="R128" i="5"/>
  <c r="R123" i="5"/>
  <c r="U128" i="5"/>
  <c r="U113" i="5"/>
  <c r="U118" i="5"/>
  <c r="V118" i="5"/>
  <c r="P83" i="5"/>
  <c r="P98" i="5"/>
  <c r="X118" i="5"/>
  <c r="P128" i="5"/>
  <c r="P123" i="5"/>
  <c r="P118" i="5"/>
  <c r="P108" i="5"/>
  <c r="P103" i="5"/>
  <c r="P93" i="5"/>
  <c r="P88" i="5"/>
  <c r="P78" i="5"/>
  <c r="W113" i="5"/>
  <c r="S93" i="5"/>
  <c r="S103" i="5"/>
  <c r="S108" i="5"/>
  <c r="S118" i="5"/>
  <c r="E47" i="3"/>
  <c r="E43" i="3"/>
  <c r="E44" i="3"/>
  <c r="P100" i="1"/>
  <c r="Y100" i="1"/>
  <c r="M100" i="1"/>
  <c r="W100" i="1"/>
  <c r="V100" i="1"/>
  <c r="L100" i="1"/>
  <c r="L45" i="3"/>
  <c r="L46" i="3"/>
  <c r="U45" i="4"/>
  <c r="V45" i="4"/>
  <c r="K45" i="4"/>
  <c r="W45" i="4"/>
  <c r="T46" i="4"/>
  <c r="Y28" i="4"/>
  <c r="AH28" i="4" s="1"/>
  <c r="L45" i="4"/>
  <c r="X45" i="4"/>
  <c r="U46" i="4"/>
  <c r="M45" i="4"/>
  <c r="Y45" i="4"/>
  <c r="V46" i="4"/>
  <c r="N45" i="4"/>
  <c r="K46" i="4"/>
  <c r="W46" i="4"/>
  <c r="O45" i="4"/>
  <c r="L46" i="4"/>
  <c r="X46" i="4"/>
  <c r="P45" i="4"/>
  <c r="M46" i="4"/>
  <c r="Y46" i="4"/>
  <c r="R46" i="4"/>
  <c r="Q45" i="4"/>
  <c r="N46" i="4"/>
  <c r="S46" i="4"/>
  <c r="L20" i="4"/>
  <c r="U20" i="4" s="1"/>
  <c r="Y25" i="4"/>
  <c r="Z25" i="4" s="1"/>
  <c r="R45" i="4"/>
  <c r="O46" i="4"/>
  <c r="S45" i="4"/>
  <c r="P46" i="4"/>
  <c r="Y22" i="4"/>
  <c r="AH22" i="4" s="1"/>
  <c r="T45" i="4"/>
  <c r="Q46" i="4"/>
  <c r="X17" i="4"/>
  <c r="Y17" i="4" s="1"/>
  <c r="Z17" i="4" s="1"/>
  <c r="W126" i="4"/>
  <c r="U116" i="4"/>
  <c r="Q96" i="4"/>
  <c r="R96" i="4"/>
  <c r="R111" i="4"/>
  <c r="P116" i="4"/>
  <c r="O91" i="4"/>
  <c r="O116" i="4"/>
  <c r="L66" i="4"/>
  <c r="L101" i="4"/>
  <c r="L76" i="4"/>
  <c r="P101" i="4"/>
  <c r="O121" i="4"/>
  <c r="L71" i="4"/>
  <c r="O76" i="4"/>
  <c r="L106" i="4"/>
  <c r="P121" i="4"/>
  <c r="L81" i="4"/>
  <c r="O106" i="4"/>
  <c r="U121" i="4"/>
  <c r="L86" i="4"/>
  <c r="P106" i="4"/>
  <c r="X121" i="4"/>
  <c r="L121" i="4"/>
  <c r="O86" i="4"/>
  <c r="U106" i="4"/>
  <c r="Q126" i="4"/>
  <c r="O101" i="4"/>
  <c r="P86" i="4"/>
  <c r="Q111" i="4"/>
  <c r="R126" i="4"/>
  <c r="P91" i="4"/>
  <c r="L116" i="4"/>
  <c r="L91" i="4"/>
  <c r="L111" i="4"/>
  <c r="L126" i="4"/>
  <c r="L61" i="4"/>
  <c r="K28" i="4"/>
  <c r="L28" i="4" s="1"/>
  <c r="U28" i="4" s="1"/>
  <c r="K17" i="4"/>
  <c r="L17" i="4" s="1"/>
  <c r="U17" i="4" s="1"/>
  <c r="X18" i="4"/>
  <c r="Y18" i="4" s="1"/>
  <c r="K18" i="4"/>
  <c r="L18" i="4" s="1"/>
  <c r="F18" i="4"/>
  <c r="H30" i="4"/>
  <c r="G30" i="4"/>
  <c r="X15" i="4"/>
  <c r="Y15" i="4" s="1"/>
  <c r="F15" i="4"/>
  <c r="E30" i="4"/>
  <c r="K15" i="4"/>
  <c r="L15" i="4" s="1"/>
  <c r="X21" i="4"/>
  <c r="Y21" i="4" s="1"/>
  <c r="F21" i="4"/>
  <c r="K21" i="4"/>
  <c r="L21" i="4" s="1"/>
  <c r="X19" i="4"/>
  <c r="Y19" i="4" s="1"/>
  <c r="K19" i="4"/>
  <c r="L19" i="4" s="1"/>
  <c r="F19" i="4"/>
  <c r="K16" i="4"/>
  <c r="L16" i="4" s="1"/>
  <c r="X16" i="4"/>
  <c r="Y16" i="4" s="1"/>
  <c r="F16" i="4"/>
  <c r="X27" i="4"/>
  <c r="Y27" i="4" s="1"/>
  <c r="K27" i="4"/>
  <c r="L27" i="4" s="1"/>
  <c r="V121" i="4"/>
  <c r="V116" i="4"/>
  <c r="V126" i="4"/>
  <c r="V111" i="4"/>
  <c r="K22" i="4"/>
  <c r="L22" i="4" s="1"/>
  <c r="K23" i="4"/>
  <c r="L23" i="4" s="1"/>
  <c r="K25" i="4"/>
  <c r="L25" i="4" s="1"/>
  <c r="X26" i="4"/>
  <c r="Y26" i="4" s="1"/>
  <c r="K26" i="4"/>
  <c r="L26" i="4" s="1"/>
  <c r="X20" i="4"/>
  <c r="Y20" i="4" s="1"/>
  <c r="X29" i="4"/>
  <c r="Y29" i="4" s="1"/>
  <c r="K29" i="4"/>
  <c r="L29" i="4" s="1"/>
  <c r="N126" i="4"/>
  <c r="N111" i="4"/>
  <c r="N96" i="4"/>
  <c r="N81" i="4"/>
  <c r="N121" i="4"/>
  <c r="N116" i="4"/>
  <c r="N106" i="4"/>
  <c r="N101" i="4"/>
  <c r="N91" i="4"/>
  <c r="N86" i="4"/>
  <c r="N76" i="4"/>
  <c r="N71" i="4"/>
  <c r="X24" i="4"/>
  <c r="Y24" i="4" s="1"/>
  <c r="K24" i="4"/>
  <c r="L24" i="4" s="1"/>
  <c r="F20" i="4"/>
  <c r="F22" i="4"/>
  <c r="X23" i="4"/>
  <c r="Y23" i="4" s="1"/>
  <c r="T121" i="4"/>
  <c r="T116" i="4"/>
  <c r="T106" i="4"/>
  <c r="T101" i="4"/>
  <c r="T111" i="4"/>
  <c r="M71" i="4"/>
  <c r="M76" i="4"/>
  <c r="M86" i="4"/>
  <c r="M91" i="4"/>
  <c r="M101" i="4"/>
  <c r="M106" i="4"/>
  <c r="U111" i="4"/>
  <c r="M116" i="4"/>
  <c r="M121" i="4"/>
  <c r="M66" i="4"/>
  <c r="M81" i="4"/>
  <c r="Q86" i="4"/>
  <c r="Q91" i="4"/>
  <c r="M96" i="4"/>
  <c r="Q101" i="4"/>
  <c r="Q106" i="4"/>
  <c r="M111" i="4"/>
  <c r="Q116" i="4"/>
  <c r="R91" i="4"/>
  <c r="R101" i="4"/>
  <c r="R106" i="4"/>
  <c r="R116" i="4"/>
  <c r="O81" i="4"/>
  <c r="O96" i="4"/>
  <c r="S101" i="4"/>
  <c r="S106" i="4"/>
  <c r="O111" i="4"/>
  <c r="S116" i="4"/>
  <c r="S121" i="4"/>
  <c r="P81" i="4"/>
  <c r="P96" i="4"/>
  <c r="P111" i="4"/>
  <c r="S96" i="4"/>
  <c r="S111" i="4"/>
  <c r="W116" i="4"/>
  <c r="Y22" i="3"/>
  <c r="AH22" i="3" s="1"/>
  <c r="W46" i="3"/>
  <c r="Q46" i="3"/>
  <c r="Y29" i="3"/>
  <c r="Y17" i="3"/>
  <c r="AH17" i="3" s="1"/>
  <c r="Y28" i="3"/>
  <c r="AH28" i="3" s="1"/>
  <c r="Y18" i="3"/>
  <c r="Z18" i="3" s="1"/>
  <c r="AB18" i="3" s="1"/>
  <c r="Y27" i="3"/>
  <c r="AH27" i="3" s="1"/>
  <c r="Z46" i="3"/>
  <c r="Y46" i="3"/>
  <c r="N46" i="3"/>
  <c r="K29" i="3"/>
  <c r="L29" i="3" s="1"/>
  <c r="M29" i="3" s="1"/>
  <c r="O29" i="3" s="1"/>
  <c r="K17" i="3"/>
  <c r="L17" i="3" s="1"/>
  <c r="X20" i="3"/>
  <c r="Y20" i="3" s="1"/>
  <c r="Z20" i="3" s="1"/>
  <c r="AB20" i="3" s="1"/>
  <c r="V46" i="3"/>
  <c r="L26" i="3"/>
  <c r="M26" i="3" s="1"/>
  <c r="O26" i="3" s="1"/>
  <c r="U46" i="3"/>
  <c r="W45" i="3"/>
  <c r="L16" i="3"/>
  <c r="U16" i="3" s="1"/>
  <c r="L25" i="3"/>
  <c r="M25" i="3" s="1"/>
  <c r="O25" i="3" s="1"/>
  <c r="T46" i="3"/>
  <c r="V45" i="3"/>
  <c r="O89" i="1"/>
  <c r="Y45" i="3"/>
  <c r="X45" i="3"/>
  <c r="Y24" i="3"/>
  <c r="AH24" i="3" s="1"/>
  <c r="S46" i="3"/>
  <c r="U45" i="3"/>
  <c r="R46" i="3"/>
  <c r="T45" i="3"/>
  <c r="P45" i="3"/>
  <c r="K45" i="3"/>
  <c r="P46" i="3"/>
  <c r="R45" i="3"/>
  <c r="X15" i="3"/>
  <c r="Y15" i="3" s="1"/>
  <c r="Z15" i="3" s="1"/>
  <c r="AB15" i="3" s="1"/>
  <c r="S45" i="3"/>
  <c r="L20" i="3"/>
  <c r="U20" i="3" s="1"/>
  <c r="K46" i="3"/>
  <c r="O46" i="3"/>
  <c r="Q45" i="3"/>
  <c r="L15" i="3"/>
  <c r="U15" i="3" s="1"/>
  <c r="M46" i="3"/>
  <c r="O45" i="3"/>
  <c r="X46" i="3"/>
  <c r="Z45" i="3"/>
  <c r="N45" i="3"/>
  <c r="M45" i="3"/>
  <c r="F19" i="3"/>
  <c r="X19" i="3"/>
  <c r="Y19" i="3" s="1"/>
  <c r="Z19" i="3" s="1"/>
  <c r="AB19" i="3" s="1"/>
  <c r="X16" i="3"/>
  <c r="Y16" i="3" s="1"/>
  <c r="AH16" i="3" s="1"/>
  <c r="K28" i="3"/>
  <c r="L28" i="3" s="1"/>
  <c r="U28" i="3" s="1"/>
  <c r="K18" i="3"/>
  <c r="L18" i="3" s="1"/>
  <c r="U18" i="3" s="1"/>
  <c r="Z17" i="3"/>
  <c r="AB17" i="3" s="1"/>
  <c r="K24" i="3"/>
  <c r="L24" i="3" s="1"/>
  <c r="X26" i="3"/>
  <c r="Y26" i="3" s="1"/>
  <c r="K23" i="3"/>
  <c r="L23" i="3" s="1"/>
  <c r="X25" i="3"/>
  <c r="Y25" i="3" s="1"/>
  <c r="K27" i="3"/>
  <c r="L27" i="3" s="1"/>
  <c r="K22" i="3"/>
  <c r="L22" i="3" s="1"/>
  <c r="K21" i="3"/>
  <c r="L21" i="3" s="1"/>
  <c r="X23" i="3"/>
  <c r="Y23" i="3" s="1"/>
  <c r="K19" i="3"/>
  <c r="L19" i="3" s="1"/>
  <c r="X21" i="3"/>
  <c r="Y21" i="3" s="1"/>
  <c r="M88" i="3"/>
  <c r="M93" i="3"/>
  <c r="P88" i="3"/>
  <c r="T98" i="3"/>
  <c r="P103" i="3"/>
  <c r="M108" i="3"/>
  <c r="P108" i="3"/>
  <c r="T108" i="3"/>
  <c r="P118" i="3"/>
  <c r="M73" i="3"/>
  <c r="M123" i="3"/>
  <c r="O128" i="3"/>
  <c r="P78" i="3"/>
  <c r="O83" i="3"/>
  <c r="T128" i="3"/>
  <c r="X118" i="3"/>
  <c r="S108" i="3"/>
  <c r="P123" i="3"/>
  <c r="S123" i="3"/>
  <c r="F15" i="3"/>
  <c r="F20" i="3"/>
  <c r="S93" i="3"/>
  <c r="O113" i="3"/>
  <c r="T123" i="3"/>
  <c r="O98" i="3"/>
  <c r="P113" i="3"/>
  <c r="X123" i="3"/>
  <c r="P93" i="3"/>
  <c r="M63" i="3"/>
  <c r="P98" i="3"/>
  <c r="T113" i="3"/>
  <c r="Y123" i="3"/>
  <c r="U113" i="3"/>
  <c r="M78" i="3"/>
  <c r="M103" i="3"/>
  <c r="M118" i="3"/>
  <c r="P128" i="3"/>
  <c r="S103" i="3"/>
  <c r="S118" i="3"/>
  <c r="U128" i="3"/>
  <c r="T103" i="3"/>
  <c r="F22" i="3"/>
  <c r="F17" i="3"/>
  <c r="F18" i="3"/>
  <c r="N128" i="3"/>
  <c r="N113" i="3"/>
  <c r="N98" i="3"/>
  <c r="N83" i="3"/>
  <c r="N68" i="3"/>
  <c r="N123" i="3"/>
  <c r="N118" i="3"/>
  <c r="N108" i="3"/>
  <c r="N103" i="3"/>
  <c r="N93" i="3"/>
  <c r="N88" i="3"/>
  <c r="N78" i="3"/>
  <c r="N73" i="3"/>
  <c r="F30" i="3"/>
  <c r="E30" i="3"/>
  <c r="F16" i="3"/>
  <c r="Q128" i="3"/>
  <c r="Q113" i="3"/>
  <c r="Q98" i="3"/>
  <c r="Q83" i="3"/>
  <c r="Q123" i="3"/>
  <c r="Q118" i="3"/>
  <c r="Q108" i="3"/>
  <c r="Q103" i="3"/>
  <c r="Q93" i="3"/>
  <c r="Q88" i="3"/>
  <c r="R128" i="3"/>
  <c r="R113" i="3"/>
  <c r="R98" i="3"/>
  <c r="R123" i="3"/>
  <c r="R118" i="3"/>
  <c r="R108" i="3"/>
  <c r="R103" i="3"/>
  <c r="R93" i="3"/>
  <c r="R88" i="3"/>
  <c r="V123" i="3"/>
  <c r="V118" i="3"/>
  <c r="V108" i="3"/>
  <c r="V128" i="3"/>
  <c r="V113" i="3"/>
  <c r="W123" i="3"/>
  <c r="W118" i="3"/>
  <c r="W128" i="3"/>
  <c r="W113" i="3"/>
  <c r="O73" i="3"/>
  <c r="O78" i="3"/>
  <c r="O88" i="3"/>
  <c r="O93" i="3"/>
  <c r="O103" i="3"/>
  <c r="O108" i="3"/>
  <c r="O118" i="3"/>
  <c r="M68" i="3"/>
  <c r="M83" i="3"/>
  <c r="M98" i="3"/>
  <c r="M113" i="3"/>
  <c r="U103" i="3"/>
  <c r="U108" i="3"/>
  <c r="U118" i="3"/>
  <c r="S98" i="3"/>
  <c r="S113" i="3"/>
  <c r="L89" i="1"/>
  <c r="M89" i="1"/>
  <c r="Q89" i="1"/>
  <c r="K89" i="1"/>
  <c r="N89" i="1"/>
  <c r="Y89" i="1"/>
  <c r="X89" i="1"/>
  <c r="W89" i="1"/>
  <c r="V89" i="1"/>
  <c r="U89" i="1"/>
  <c r="T89" i="1"/>
  <c r="S89" i="1"/>
  <c r="R89" i="1"/>
  <c r="T90" i="1"/>
  <c r="R90" i="1"/>
  <c r="U90" i="1"/>
  <c r="O90" i="1"/>
  <c r="S90" i="1"/>
  <c r="K90" i="1"/>
  <c r="Q90" i="1"/>
  <c r="P90" i="1"/>
  <c r="N90" i="1"/>
  <c r="Y90" i="1"/>
  <c r="M90" i="1"/>
  <c r="X90" i="1"/>
  <c r="L90" i="1"/>
  <c r="U61" i="1"/>
  <c r="V61" i="1" s="1"/>
  <c r="W61" i="1" s="1"/>
  <c r="W90" i="1"/>
  <c r="L112" i="1"/>
  <c r="F61" i="1"/>
  <c r="U63" i="1"/>
  <c r="V63" i="1" s="1"/>
  <c r="W63" i="1" s="1"/>
  <c r="U62" i="1"/>
  <c r="AD62" i="1" s="1"/>
  <c r="U60" i="1"/>
  <c r="V60" i="1" s="1"/>
  <c r="W60" i="1" s="1"/>
  <c r="U67" i="1"/>
  <c r="V67" i="1" s="1"/>
  <c r="W67" i="1" s="1"/>
  <c r="U66" i="1"/>
  <c r="V66" i="1" s="1"/>
  <c r="W66" i="1" s="1"/>
  <c r="Y66" i="1" s="1"/>
  <c r="U59" i="1"/>
  <c r="U64" i="1"/>
  <c r="AD64" i="1" s="1"/>
  <c r="U65" i="1"/>
  <c r="V65" i="1" s="1"/>
  <c r="W65" i="1" s="1"/>
  <c r="F59" i="1"/>
  <c r="K65" i="1"/>
  <c r="K64" i="1"/>
  <c r="K59" i="1"/>
  <c r="K61" i="1"/>
  <c r="K63" i="1"/>
  <c r="K62" i="1"/>
  <c r="K67" i="1"/>
  <c r="K60" i="1"/>
  <c r="K66" i="1"/>
  <c r="W162" i="1"/>
  <c r="V162" i="1"/>
  <c r="U162" i="1"/>
  <c r="U152" i="1"/>
  <c r="T162" i="1"/>
  <c r="T152" i="1"/>
  <c r="R172" i="1"/>
  <c r="S172" i="1"/>
  <c r="S152" i="1"/>
  <c r="R157" i="1"/>
  <c r="R152" i="1"/>
  <c r="Q172" i="1"/>
  <c r="Q157" i="1"/>
  <c r="M142" i="1"/>
  <c r="M147" i="1"/>
  <c r="L122" i="1"/>
  <c r="N167" i="1"/>
  <c r="P157" i="1"/>
  <c r="P172" i="1"/>
  <c r="P127" i="1"/>
  <c r="N117" i="1"/>
  <c r="O172" i="1"/>
  <c r="X167" i="1"/>
  <c r="L167" i="1"/>
  <c r="S162" i="1"/>
  <c r="N157" i="1"/>
  <c r="Q152" i="1"/>
  <c r="O127" i="1"/>
  <c r="M117" i="1"/>
  <c r="O167" i="1"/>
  <c r="L142" i="1"/>
  <c r="O157" i="1"/>
  <c r="N172" i="1"/>
  <c r="W167" i="1"/>
  <c r="R162" i="1"/>
  <c r="M157" i="1"/>
  <c r="P152" i="1"/>
  <c r="T147" i="1"/>
  <c r="R137" i="1"/>
  <c r="Q132" i="1"/>
  <c r="N127" i="1"/>
  <c r="L117" i="1"/>
  <c r="M112" i="1"/>
  <c r="M172" i="1"/>
  <c r="V167" i="1"/>
  <c r="Q162" i="1"/>
  <c r="L157" i="1"/>
  <c r="O152" i="1"/>
  <c r="S147" i="1"/>
  <c r="S142" i="1"/>
  <c r="Q137" i="1"/>
  <c r="P132" i="1"/>
  <c r="M127" i="1"/>
  <c r="L172" i="1"/>
  <c r="U167" i="1"/>
  <c r="P162" i="1"/>
  <c r="N152" i="1"/>
  <c r="R147" i="1"/>
  <c r="R142" i="1"/>
  <c r="P137" i="1"/>
  <c r="O132" i="1"/>
  <c r="L127" i="1"/>
  <c r="M167" i="1"/>
  <c r="T167" i="1"/>
  <c r="O162" i="1"/>
  <c r="V157" i="1"/>
  <c r="M152" i="1"/>
  <c r="Q147" i="1"/>
  <c r="Q142" i="1"/>
  <c r="O137" i="1"/>
  <c r="N132" i="1"/>
  <c r="S167" i="1"/>
  <c r="N162" i="1"/>
  <c r="U157" i="1"/>
  <c r="L152" i="1"/>
  <c r="P147" i="1"/>
  <c r="P142" i="1"/>
  <c r="N137" i="1"/>
  <c r="M132" i="1"/>
  <c r="O122" i="1"/>
  <c r="L107" i="1"/>
  <c r="M162" i="1"/>
  <c r="T157" i="1"/>
  <c r="O147" i="1"/>
  <c r="M137" i="1"/>
  <c r="L132" i="1"/>
  <c r="N122" i="1"/>
  <c r="L147" i="1"/>
  <c r="L162" i="1"/>
  <c r="N147" i="1"/>
  <c r="E47" i="1"/>
  <c r="E49" i="1" s="1"/>
  <c r="E50" i="1" s="1"/>
  <c r="E78" i="1"/>
  <c r="E34" i="4" s="1"/>
  <c r="E35" i="4" s="1"/>
  <c r="E36" i="4" s="1"/>
  <c r="E38" i="4" s="1"/>
  <c r="K33" i="4" s="1"/>
  <c r="K34" i="4" s="1"/>
  <c r="E38" i="1"/>
  <c r="E40" i="1" s="1"/>
  <c r="E41" i="1" s="1"/>
  <c r="P15" i="5" l="1"/>
  <c r="S15" i="5" s="1"/>
  <c r="T15" i="5" s="1"/>
  <c r="V15" i="5" s="1"/>
  <c r="Z15" i="5"/>
  <c r="AH15" i="5"/>
  <c r="O15" i="5"/>
  <c r="N15" i="5"/>
  <c r="Q15" i="5" s="1"/>
  <c r="U15" i="5"/>
  <c r="Q28" i="5"/>
  <c r="O28" i="5"/>
  <c r="N28" i="5"/>
  <c r="M20" i="5"/>
  <c r="U20" i="5"/>
  <c r="AH21" i="5"/>
  <c r="Z21" i="5"/>
  <c r="R15" i="5"/>
  <c r="O21" i="5"/>
  <c r="Q21" i="5" s="1"/>
  <c r="N21" i="5"/>
  <c r="N48" i="5"/>
  <c r="O33" i="5"/>
  <c r="N34" i="5"/>
  <c r="M51" i="5"/>
  <c r="M50" i="5"/>
  <c r="M52" i="5" s="1"/>
  <c r="M23" i="5"/>
  <c r="U23" i="5"/>
  <c r="O25" i="5"/>
  <c r="N25" i="5"/>
  <c r="M16" i="5"/>
  <c r="U16" i="5"/>
  <c r="U17" i="5"/>
  <c r="M17" i="5"/>
  <c r="Z23" i="5"/>
  <c r="AH23" i="5"/>
  <c r="AB25" i="5"/>
  <c r="AA25" i="5"/>
  <c r="Z22" i="5"/>
  <c r="AH22" i="5"/>
  <c r="Z16" i="5"/>
  <c r="AH16" i="5"/>
  <c r="U19" i="5"/>
  <c r="M19" i="5"/>
  <c r="AH19" i="5"/>
  <c r="Z19" i="5"/>
  <c r="Z20" i="5"/>
  <c r="AH20" i="5"/>
  <c r="M22" i="5"/>
  <c r="U22" i="5"/>
  <c r="M26" i="5"/>
  <c r="U26" i="5"/>
  <c r="Z26" i="5"/>
  <c r="AH26" i="5"/>
  <c r="Z29" i="5"/>
  <c r="AH29" i="5"/>
  <c r="Z24" i="5"/>
  <c r="AH24" i="5"/>
  <c r="M29" i="5"/>
  <c r="U29" i="5"/>
  <c r="AH17" i="5"/>
  <c r="Z17" i="5"/>
  <c r="M18" i="5"/>
  <c r="U18" i="5"/>
  <c r="AA27" i="5"/>
  <c r="AC27" i="5" s="1"/>
  <c r="AB27" i="5"/>
  <c r="O27" i="5"/>
  <c r="N27" i="5"/>
  <c r="Z18" i="5"/>
  <c r="AH18" i="5"/>
  <c r="AH28" i="5"/>
  <c r="Z28" i="5"/>
  <c r="O24" i="5"/>
  <c r="N24" i="5"/>
  <c r="L36" i="3"/>
  <c r="Z28" i="4"/>
  <c r="AA28" i="4" s="1"/>
  <c r="Z22" i="4"/>
  <c r="AB22" i="4" s="1"/>
  <c r="AH17" i="4"/>
  <c r="M20" i="4"/>
  <c r="N20" i="4" s="1"/>
  <c r="AH25" i="4"/>
  <c r="M17" i="4"/>
  <c r="N17" i="4" s="1"/>
  <c r="P17" i="4" s="1"/>
  <c r="L33" i="4"/>
  <c r="M33" i="4" s="1"/>
  <c r="M28" i="4"/>
  <c r="O28" i="4" s="1"/>
  <c r="AH26" i="4"/>
  <c r="Z26" i="4"/>
  <c r="U15" i="4"/>
  <c r="M15" i="4"/>
  <c r="U29" i="4"/>
  <c r="M29" i="4"/>
  <c r="AB25" i="4"/>
  <c r="AA25" i="4"/>
  <c r="Z29" i="4"/>
  <c r="AH29" i="4"/>
  <c r="M16" i="4"/>
  <c r="U16" i="4"/>
  <c r="U21" i="4"/>
  <c r="M21" i="4"/>
  <c r="M18" i="4"/>
  <c r="U18" i="4"/>
  <c r="M24" i="4"/>
  <c r="U24" i="4"/>
  <c r="Z16" i="4"/>
  <c r="AH16" i="4"/>
  <c r="AH18" i="4"/>
  <c r="Z18" i="4"/>
  <c r="U23" i="4"/>
  <c r="M23" i="4"/>
  <c r="M19" i="4"/>
  <c r="U19" i="4"/>
  <c r="Q36" i="4"/>
  <c r="N36" i="4"/>
  <c r="Y36" i="4"/>
  <c r="M36" i="4"/>
  <c r="X36" i="4"/>
  <c r="L36" i="4"/>
  <c r="W36" i="4"/>
  <c r="K36" i="4"/>
  <c r="T36" i="4"/>
  <c r="S36" i="4"/>
  <c r="V36" i="4"/>
  <c r="U36" i="4"/>
  <c r="R36" i="4"/>
  <c r="O36" i="4"/>
  <c r="P36" i="4"/>
  <c r="Z24" i="4"/>
  <c r="AH24" i="4"/>
  <c r="U22" i="4"/>
  <c r="M22" i="4"/>
  <c r="M27" i="4"/>
  <c r="U27" i="4"/>
  <c r="Z19" i="4"/>
  <c r="AH19" i="4"/>
  <c r="AH15" i="4"/>
  <c r="Z15" i="4"/>
  <c r="Z20" i="4"/>
  <c r="AH20" i="4"/>
  <c r="AH21" i="4"/>
  <c r="Z21" i="4"/>
  <c r="Z27" i="4"/>
  <c r="AH27" i="4"/>
  <c r="O20" i="4"/>
  <c r="AH23" i="4"/>
  <c r="Z23" i="4"/>
  <c r="U26" i="4"/>
  <c r="M26" i="4"/>
  <c r="AA17" i="4"/>
  <c r="AC17" i="4" s="1"/>
  <c r="AB17" i="4"/>
  <c r="U25" i="4"/>
  <c r="M25" i="4"/>
  <c r="Z27" i="3"/>
  <c r="AB27" i="3" s="1"/>
  <c r="Z22" i="3"/>
  <c r="AB22" i="3" s="1"/>
  <c r="AH18" i="3"/>
  <c r="Z28" i="3"/>
  <c r="AB28" i="3" s="1"/>
  <c r="AH29" i="3"/>
  <c r="Z29" i="3"/>
  <c r="E79" i="1"/>
  <c r="E80" i="1" s="1"/>
  <c r="E82" i="1" s="1"/>
  <c r="K77" i="1" s="1"/>
  <c r="E34" i="3"/>
  <c r="E35" i="3" s="1"/>
  <c r="E36" i="3" s="1"/>
  <c r="E38" i="3" s="1"/>
  <c r="K33" i="3" s="1"/>
  <c r="U25" i="3"/>
  <c r="AH20" i="3"/>
  <c r="M20" i="3"/>
  <c r="O20" i="3" s="1"/>
  <c r="M16" i="3"/>
  <c r="O16" i="3" s="1"/>
  <c r="U17" i="3"/>
  <c r="M17" i="3"/>
  <c r="O17" i="3" s="1"/>
  <c r="U29" i="3"/>
  <c r="M15" i="3"/>
  <c r="O15" i="3" s="1"/>
  <c r="AH19" i="3"/>
  <c r="M18" i="3"/>
  <c r="O18" i="3" s="1"/>
  <c r="M28" i="3"/>
  <c r="O28" i="3" s="1"/>
  <c r="Z16" i="3"/>
  <c r="AB16" i="3" s="1"/>
  <c r="AH15" i="3"/>
  <c r="Z24" i="3"/>
  <c r="AB24" i="3" s="1"/>
  <c r="U26" i="3"/>
  <c r="M27" i="3"/>
  <c r="O27" i="3" s="1"/>
  <c r="U27" i="3"/>
  <c r="U23" i="3"/>
  <c r="M23" i="3"/>
  <c r="O23" i="3" s="1"/>
  <c r="AH26" i="3"/>
  <c r="Z26" i="3"/>
  <c r="AB26" i="3" s="1"/>
  <c r="AH21" i="3"/>
  <c r="Z21" i="3"/>
  <c r="AB21" i="3" s="1"/>
  <c r="U24" i="3"/>
  <c r="M24" i="3"/>
  <c r="O24" i="3" s="1"/>
  <c r="U19" i="3"/>
  <c r="M19" i="3"/>
  <c r="O19" i="3" s="1"/>
  <c r="AH25" i="3"/>
  <c r="Z25" i="3"/>
  <c r="AB25" i="3" s="1"/>
  <c r="AH23" i="3"/>
  <c r="Z23" i="3"/>
  <c r="AB23" i="3" s="1"/>
  <c r="U21" i="3"/>
  <c r="M21" i="3"/>
  <c r="O21" i="3" s="1"/>
  <c r="Q36" i="3"/>
  <c r="S36" i="3"/>
  <c r="T36" i="3"/>
  <c r="Z36" i="3"/>
  <c r="R36" i="3"/>
  <c r="U36" i="3"/>
  <c r="V36" i="3"/>
  <c r="W36" i="3"/>
  <c r="O36" i="3"/>
  <c r="X36" i="3"/>
  <c r="M36" i="3"/>
  <c r="Y36" i="3"/>
  <c r="N36" i="3"/>
  <c r="P36" i="3"/>
  <c r="U22" i="3"/>
  <c r="M22" i="3"/>
  <c r="O22" i="3" s="1"/>
  <c r="N29" i="3"/>
  <c r="R29" i="3" s="1"/>
  <c r="AA19" i="3"/>
  <c r="AE19" i="3" s="1"/>
  <c r="N26" i="3"/>
  <c r="R26" i="3" s="1"/>
  <c r="K36" i="3"/>
  <c r="N25" i="3"/>
  <c r="R25" i="3" s="1"/>
  <c r="AD61" i="1"/>
  <c r="Y61" i="1"/>
  <c r="X61" i="1"/>
  <c r="AA61" i="1" s="1"/>
  <c r="AD63" i="1"/>
  <c r="V62" i="1"/>
  <c r="X62" i="1" s="1"/>
  <c r="Y63" i="1"/>
  <c r="X63" i="1"/>
  <c r="AA63" i="1" s="1"/>
  <c r="X65" i="1"/>
  <c r="AA65" i="1" s="1"/>
  <c r="X60" i="1"/>
  <c r="Z60" i="1" s="1"/>
  <c r="AD60" i="1"/>
  <c r="AD65" i="1"/>
  <c r="AD67" i="1"/>
  <c r="V59" i="1"/>
  <c r="AD59" i="1"/>
  <c r="V64" i="1"/>
  <c r="AD66" i="1"/>
  <c r="X66" i="1"/>
  <c r="AA66" i="1" s="1"/>
  <c r="L67" i="1"/>
  <c r="T67" i="1"/>
  <c r="L62" i="1"/>
  <c r="T62" i="1"/>
  <c r="L63" i="1"/>
  <c r="T63" i="1"/>
  <c r="L65" i="1"/>
  <c r="T65" i="1"/>
  <c r="X67" i="1"/>
  <c r="AA67" i="1" s="1"/>
  <c r="L60" i="1"/>
  <c r="T60" i="1"/>
  <c r="L61" i="1"/>
  <c r="T61" i="1"/>
  <c r="L66" i="1"/>
  <c r="T66" i="1"/>
  <c r="L64" i="1"/>
  <c r="T64" i="1"/>
  <c r="Y67" i="1"/>
  <c r="L59" i="1"/>
  <c r="T59" i="1"/>
  <c r="Y60" i="1"/>
  <c r="Y65" i="1"/>
  <c r="E52" i="1"/>
  <c r="AE25" i="5" l="1"/>
  <c r="R27" i="5"/>
  <c r="AD27" i="5"/>
  <c r="R21" i="5"/>
  <c r="R24" i="5"/>
  <c r="Q25" i="5"/>
  <c r="AB15" i="5"/>
  <c r="AA15" i="5"/>
  <c r="N26" i="5"/>
  <c r="R26" i="5" s="1"/>
  <c r="O26" i="5"/>
  <c r="Q24" i="5"/>
  <c r="Q27" i="5"/>
  <c r="AD25" i="5"/>
  <c r="R25" i="5"/>
  <c r="AB21" i="5"/>
  <c r="AA21" i="5"/>
  <c r="AC21" i="5" s="1"/>
  <c r="O34" i="5"/>
  <c r="P33" i="5"/>
  <c r="O48" i="5"/>
  <c r="P24" i="5"/>
  <c r="AE27" i="5"/>
  <c r="AF27" i="5" s="1"/>
  <c r="AG27" i="5" s="1"/>
  <c r="AI27" i="5" s="1"/>
  <c r="AA17" i="5"/>
  <c r="AC17" i="5"/>
  <c r="AB17" i="5"/>
  <c r="AD17" i="5" s="1"/>
  <c r="AA23" i="5"/>
  <c r="AC23" i="5" s="1"/>
  <c r="AB23" i="5"/>
  <c r="N51" i="5"/>
  <c r="N50" i="5"/>
  <c r="N52" i="5" s="1"/>
  <c r="AB20" i="5"/>
  <c r="AA20" i="5"/>
  <c r="AE20" i="5" s="1"/>
  <c r="P21" i="5"/>
  <c r="S21" i="5" s="1"/>
  <c r="T21" i="5" s="1"/>
  <c r="V21" i="5" s="1"/>
  <c r="O18" i="5"/>
  <c r="N18" i="5"/>
  <c r="R18" i="5" s="1"/>
  <c r="AB24" i="5"/>
  <c r="AA24" i="5"/>
  <c r="AE24" i="5" s="1"/>
  <c r="AA29" i="5"/>
  <c r="AB29" i="5"/>
  <c r="O19" i="5"/>
  <c r="N19" i="5"/>
  <c r="R19" i="5" s="1"/>
  <c r="M53" i="5"/>
  <c r="AB28" i="5"/>
  <c r="AA28" i="5"/>
  <c r="AC28" i="5" s="1"/>
  <c r="O22" i="5"/>
  <c r="N22" i="5"/>
  <c r="R22" i="5" s="1"/>
  <c r="AC22" i="5"/>
  <c r="AB22" i="5"/>
  <c r="AA22" i="5"/>
  <c r="O20" i="5"/>
  <c r="N20" i="5"/>
  <c r="P20" i="5" s="1"/>
  <c r="N17" i="5"/>
  <c r="P17" i="5"/>
  <c r="O17" i="5"/>
  <c r="Q17" i="5" s="1"/>
  <c r="AB18" i="5"/>
  <c r="AA18" i="5"/>
  <c r="AC18" i="5"/>
  <c r="O16" i="5"/>
  <c r="N16" i="5"/>
  <c r="R16" i="5" s="1"/>
  <c r="AA26" i="5"/>
  <c r="AC26" i="5"/>
  <c r="AB26" i="5"/>
  <c r="AC25" i="5"/>
  <c r="R28" i="5"/>
  <c r="N29" i="5"/>
  <c r="R29" i="5" s="1"/>
  <c r="O29" i="5"/>
  <c r="O23" i="5"/>
  <c r="N23" i="5"/>
  <c r="R23" i="5" s="1"/>
  <c r="P27" i="5"/>
  <c r="AC19" i="5"/>
  <c r="AB19" i="5"/>
  <c r="AA19" i="5"/>
  <c r="AE19" i="5" s="1"/>
  <c r="AB16" i="5"/>
  <c r="AA16" i="5"/>
  <c r="AE16" i="5" s="1"/>
  <c r="P25" i="5"/>
  <c r="P28" i="5"/>
  <c r="S28" i="5" s="1"/>
  <c r="T28" i="5" s="1"/>
  <c r="V28" i="5" s="1"/>
  <c r="O17" i="4"/>
  <c r="R17" i="4" s="1"/>
  <c r="AB28" i="4"/>
  <c r="AE28" i="4" s="1"/>
  <c r="AA22" i="4"/>
  <c r="AE22" i="4" s="1"/>
  <c r="AD25" i="4"/>
  <c r="AD17" i="4"/>
  <c r="AE25" i="4"/>
  <c r="L34" i="4"/>
  <c r="L48" i="4"/>
  <c r="L51" i="4" s="1"/>
  <c r="Z61" i="1"/>
  <c r="AB61" i="1" s="1"/>
  <c r="AC61" i="1" s="1"/>
  <c r="N28" i="4"/>
  <c r="R28" i="4" s="1"/>
  <c r="R20" i="4"/>
  <c r="O22" i="4"/>
  <c r="N22" i="4"/>
  <c r="AA18" i="4"/>
  <c r="AB18" i="4"/>
  <c r="O29" i="4"/>
  <c r="N29" i="4"/>
  <c r="P20" i="4"/>
  <c r="AE17" i="4"/>
  <c r="Q20" i="4"/>
  <c r="AB16" i="4"/>
  <c r="AA16" i="4"/>
  <c r="N16" i="4"/>
  <c r="O16" i="4"/>
  <c r="AC28" i="4"/>
  <c r="O25" i="4"/>
  <c r="N25" i="4"/>
  <c r="O21" i="4"/>
  <c r="N21" i="4"/>
  <c r="P21" i="4" s="1"/>
  <c r="O23" i="4"/>
  <c r="N23" i="4"/>
  <c r="P23" i="4" s="1"/>
  <c r="O24" i="4"/>
  <c r="N24" i="4"/>
  <c r="AB29" i="4"/>
  <c r="AA29" i="4"/>
  <c r="AB23" i="4"/>
  <c r="AA23" i="4"/>
  <c r="AC23" i="4" s="1"/>
  <c r="O15" i="4"/>
  <c r="N15" i="4"/>
  <c r="AB21" i="4"/>
  <c r="AA21" i="4"/>
  <c r="AB20" i="4"/>
  <c r="AA20" i="4"/>
  <c r="N19" i="4"/>
  <c r="P19" i="4" s="1"/>
  <c r="O19" i="4"/>
  <c r="M34" i="4"/>
  <c r="N33" i="4"/>
  <c r="M48" i="4"/>
  <c r="AB19" i="4"/>
  <c r="AA19" i="4"/>
  <c r="AB24" i="4"/>
  <c r="AA24" i="4"/>
  <c r="O18" i="4"/>
  <c r="N18" i="4"/>
  <c r="N27" i="4"/>
  <c r="O27" i="4"/>
  <c r="O26" i="4"/>
  <c r="N26" i="4"/>
  <c r="AB15" i="4"/>
  <c r="AA15" i="4"/>
  <c r="AB27" i="4"/>
  <c r="AA27" i="4"/>
  <c r="AC27" i="4" s="1"/>
  <c r="AC25" i="4"/>
  <c r="AB26" i="4"/>
  <c r="AA26" i="4"/>
  <c r="AC26" i="4" s="1"/>
  <c r="N16" i="3"/>
  <c r="R16" i="3" s="1"/>
  <c r="AA24" i="3"/>
  <c r="AE24" i="3" s="1"/>
  <c r="AB29" i="3"/>
  <c r="AA29" i="3"/>
  <c r="AC29" i="3" s="1"/>
  <c r="N20" i="3"/>
  <c r="R20" i="3" s="1"/>
  <c r="N28" i="3"/>
  <c r="R28" i="3" s="1"/>
  <c r="N18" i="3"/>
  <c r="R18" i="3" s="1"/>
  <c r="N15" i="3"/>
  <c r="R15" i="3" s="1"/>
  <c r="K34" i="3"/>
  <c r="W62" i="1"/>
  <c r="AA62" i="1" s="1"/>
  <c r="AA21" i="3"/>
  <c r="AC21" i="3" s="1"/>
  <c r="N19" i="3"/>
  <c r="R19" i="3" s="1"/>
  <c r="AA23" i="3"/>
  <c r="AE23" i="3" s="1"/>
  <c r="P25" i="3"/>
  <c r="AA17" i="3"/>
  <c r="AA28" i="3"/>
  <c r="AE28" i="3" s="1"/>
  <c r="Q29" i="3"/>
  <c r="P26" i="3"/>
  <c r="AC19" i="3"/>
  <c r="AD19" i="3"/>
  <c r="AA20" i="3"/>
  <c r="Q26" i="3"/>
  <c r="Q25" i="3"/>
  <c r="AA25" i="3"/>
  <c r="AE25" i="3" s="1"/>
  <c r="N17" i="3"/>
  <c r="R17" i="3" s="1"/>
  <c r="AA26" i="3"/>
  <c r="AE26" i="3" s="1"/>
  <c r="N21" i="3"/>
  <c r="R21" i="3" s="1"/>
  <c r="N27" i="3"/>
  <c r="R27" i="3" s="1"/>
  <c r="AA16" i="3"/>
  <c r="AE16" i="3" s="1"/>
  <c r="N22" i="3"/>
  <c r="R22" i="3" s="1"/>
  <c r="N24" i="3"/>
  <c r="R24" i="3" s="1"/>
  <c r="N23" i="3"/>
  <c r="R23" i="3" s="1"/>
  <c r="AA27" i="3"/>
  <c r="AA15" i="3"/>
  <c r="AA18" i="3"/>
  <c r="AE18" i="3" s="1"/>
  <c r="AA22" i="3"/>
  <c r="AE22" i="3" s="1"/>
  <c r="P29" i="3"/>
  <c r="Z65" i="1"/>
  <c r="AB65" i="1" s="1"/>
  <c r="AC65" i="1" s="1"/>
  <c r="AA60" i="1"/>
  <c r="AB60" i="1" s="1"/>
  <c r="AC60" i="1" s="1"/>
  <c r="Z63" i="1"/>
  <c r="AB63" i="1" s="1"/>
  <c r="AC63" i="1" s="1"/>
  <c r="W64" i="1"/>
  <c r="Y64" i="1" s="1"/>
  <c r="Z66" i="1"/>
  <c r="AB66" i="1" s="1"/>
  <c r="AC66" i="1" s="1"/>
  <c r="X64" i="1"/>
  <c r="X59" i="1"/>
  <c r="W59" i="1"/>
  <c r="M67" i="1"/>
  <c r="N67" i="1"/>
  <c r="M60" i="1"/>
  <c r="N60" i="1"/>
  <c r="M65" i="1"/>
  <c r="O65" i="1" s="1"/>
  <c r="N65" i="1"/>
  <c r="M66" i="1"/>
  <c r="O66" i="1" s="1"/>
  <c r="N66" i="1"/>
  <c r="M63" i="1"/>
  <c r="N63" i="1"/>
  <c r="M62" i="1"/>
  <c r="O62" i="1" s="1"/>
  <c r="N62" i="1"/>
  <c r="Z67" i="1"/>
  <c r="AB67" i="1" s="1"/>
  <c r="AC67" i="1" s="1"/>
  <c r="M64" i="1"/>
  <c r="O64" i="1" s="1"/>
  <c r="N64" i="1"/>
  <c r="M61" i="1"/>
  <c r="O61" i="1" s="1"/>
  <c r="N61" i="1"/>
  <c r="M59" i="1"/>
  <c r="N59" i="1"/>
  <c r="L77" i="1"/>
  <c r="L92" i="1" s="1"/>
  <c r="AD18" i="5" l="1"/>
  <c r="S25" i="5"/>
  <c r="T25" i="5" s="1"/>
  <c r="V25" i="5" s="1"/>
  <c r="AE15" i="5"/>
  <c r="AD15" i="5"/>
  <c r="AC15" i="5"/>
  <c r="AF15" i="5" s="1"/>
  <c r="AG15" i="5" s="1"/>
  <c r="AI15" i="5" s="1"/>
  <c r="AJ15" i="5" s="1"/>
  <c r="S27" i="5"/>
  <c r="T27" i="5" s="1"/>
  <c r="V27" i="5" s="1"/>
  <c r="AJ27" i="5" s="1"/>
  <c r="AD28" i="5"/>
  <c r="AD19" i="5"/>
  <c r="AF19" i="5"/>
  <c r="AG19" i="5" s="1"/>
  <c r="AI19" i="5" s="1"/>
  <c r="Q20" i="5"/>
  <c r="S20" i="5" s="1"/>
  <c r="T20" i="5" s="1"/>
  <c r="V20" i="5" s="1"/>
  <c r="AD24" i="5"/>
  <c r="AD16" i="5"/>
  <c r="AE29" i="5"/>
  <c r="AD21" i="5"/>
  <c r="AF21" i="5" s="1"/>
  <c r="AG21" i="5" s="1"/>
  <c r="AI21" i="5" s="1"/>
  <c r="AJ21" i="5" s="1"/>
  <c r="Q33" i="5"/>
  <c r="P34" i="5"/>
  <c r="P48" i="5"/>
  <c r="Q19" i="5"/>
  <c r="AE26" i="5"/>
  <c r="AF26" i="5" s="1"/>
  <c r="AG26" i="5" s="1"/>
  <c r="AI26" i="5" s="1"/>
  <c r="P23" i="5"/>
  <c r="S17" i="5"/>
  <c r="T17" i="5" s="1"/>
  <c r="V17" i="5" s="1"/>
  <c r="Q18" i="5"/>
  <c r="Q23" i="5"/>
  <c r="Q22" i="5"/>
  <c r="P19" i="5"/>
  <c r="S19" i="5" s="1"/>
  <c r="T19" i="5" s="1"/>
  <c r="V19" i="5" s="1"/>
  <c r="AD26" i="5"/>
  <c r="R17" i="5"/>
  <c r="P22" i="5"/>
  <c r="AE23" i="5"/>
  <c r="AC16" i="5"/>
  <c r="AF16" i="5" s="1"/>
  <c r="AG16" i="5" s="1"/>
  <c r="AI16" i="5" s="1"/>
  <c r="P29" i="5"/>
  <c r="Q16" i="5"/>
  <c r="R20" i="5"/>
  <c r="AE28" i="5"/>
  <c r="AC29" i="5"/>
  <c r="AC20" i="5"/>
  <c r="AD23" i="5"/>
  <c r="AF23" i="5" s="1"/>
  <c r="AG23" i="5" s="1"/>
  <c r="AI23" i="5" s="1"/>
  <c r="AE21" i="5"/>
  <c r="P18" i="5"/>
  <c r="Q29" i="5"/>
  <c r="AD29" i="5"/>
  <c r="AF17" i="5"/>
  <c r="AG17" i="5" s="1"/>
  <c r="AI17" i="5" s="1"/>
  <c r="N53" i="5"/>
  <c r="P16" i="5"/>
  <c r="S16" i="5" s="1"/>
  <c r="T16" i="5" s="1"/>
  <c r="V16" i="5" s="1"/>
  <c r="AD20" i="5"/>
  <c r="AF25" i="5"/>
  <c r="AG25" i="5" s="1"/>
  <c r="AI25" i="5" s="1"/>
  <c r="AJ25" i="5" s="1"/>
  <c r="AE22" i="5"/>
  <c r="AC24" i="5"/>
  <c r="AF24" i="5" s="1"/>
  <c r="AG24" i="5" s="1"/>
  <c r="AI24" i="5" s="1"/>
  <c r="AE17" i="5"/>
  <c r="M54" i="5"/>
  <c r="M55" i="5"/>
  <c r="AE18" i="5"/>
  <c r="AD22" i="5"/>
  <c r="AF22" i="5" s="1"/>
  <c r="AG22" i="5" s="1"/>
  <c r="AI22" i="5" s="1"/>
  <c r="S24" i="5"/>
  <c r="T24" i="5" s="1"/>
  <c r="V24" i="5" s="1"/>
  <c r="P26" i="5"/>
  <c r="O51" i="5"/>
  <c r="O50" i="5"/>
  <c r="O52" i="5" s="1"/>
  <c r="Q26" i="5"/>
  <c r="Q17" i="4"/>
  <c r="AD28" i="4"/>
  <c r="AF28" i="4" s="1"/>
  <c r="AG28" i="4" s="1"/>
  <c r="AI28" i="4" s="1"/>
  <c r="R15" i="4"/>
  <c r="AE19" i="4"/>
  <c r="Q25" i="4"/>
  <c r="AE15" i="4"/>
  <c r="AF17" i="4"/>
  <c r="AG17" i="4" s="1"/>
  <c r="AI17" i="4" s="1"/>
  <c r="AF25" i="4"/>
  <c r="AG25" i="4" s="1"/>
  <c r="AI25" i="4" s="1"/>
  <c r="AD22" i="4"/>
  <c r="AC22" i="4"/>
  <c r="AE24" i="4"/>
  <c r="Q24" i="4"/>
  <c r="P25" i="4"/>
  <c r="P28" i="4"/>
  <c r="Q23" i="4"/>
  <c r="L50" i="4"/>
  <c r="L52" i="4" s="1"/>
  <c r="L53" i="4" s="1"/>
  <c r="R18" i="4"/>
  <c r="AE20" i="4"/>
  <c r="R24" i="4"/>
  <c r="Q28" i="4"/>
  <c r="R26" i="4"/>
  <c r="R29" i="4"/>
  <c r="Q27" i="4"/>
  <c r="Q19" i="4"/>
  <c r="AD29" i="4"/>
  <c r="Q22" i="4"/>
  <c r="AE18" i="4"/>
  <c r="S17" i="4"/>
  <c r="T17" i="4" s="1"/>
  <c r="V17" i="4" s="1"/>
  <c r="Q16" i="3"/>
  <c r="P16" i="3"/>
  <c r="AE21" i="4"/>
  <c r="AC29" i="4"/>
  <c r="R25" i="4"/>
  <c r="AD15" i="4"/>
  <c r="R27" i="4"/>
  <c r="AE16" i="4"/>
  <c r="AD26" i="4"/>
  <c r="AC16" i="4"/>
  <c r="AD23" i="4"/>
  <c r="AD16" i="4"/>
  <c r="AD27" i="4"/>
  <c r="Q18" i="4"/>
  <c r="AC20" i="4"/>
  <c r="AD24" i="4"/>
  <c r="AD20" i="4"/>
  <c r="Q21" i="4"/>
  <c r="R16" i="4"/>
  <c r="P26" i="4"/>
  <c r="AE29" i="4"/>
  <c r="Q16" i="4"/>
  <c r="Q29" i="4"/>
  <c r="P29" i="4"/>
  <c r="Q26" i="4"/>
  <c r="AC24" i="4"/>
  <c r="Q15" i="4"/>
  <c r="AD18" i="4"/>
  <c r="AE27" i="4"/>
  <c r="AC19" i="4"/>
  <c r="R19" i="4"/>
  <c r="P15" i="4"/>
  <c r="R21" i="4"/>
  <c r="AC18" i="4"/>
  <c r="AD19" i="4"/>
  <c r="M51" i="4"/>
  <c r="M50" i="4"/>
  <c r="M52" i="4" s="1"/>
  <c r="AC21" i="4"/>
  <c r="P24" i="4"/>
  <c r="R22" i="4"/>
  <c r="P27" i="4"/>
  <c r="AE26" i="4"/>
  <c r="AC15" i="4"/>
  <c r="AF15" i="4" s="1"/>
  <c r="AG15" i="4" s="1"/>
  <c r="AI15" i="4" s="1"/>
  <c r="P18" i="4"/>
  <c r="N48" i="4"/>
  <c r="O33" i="4"/>
  <c r="N34" i="4"/>
  <c r="AD21" i="4"/>
  <c r="AE23" i="4"/>
  <c r="R23" i="4"/>
  <c r="S20" i="4"/>
  <c r="T20" i="4" s="1"/>
  <c r="V20" i="4" s="1"/>
  <c r="P22" i="4"/>
  <c r="P16" i="4"/>
  <c r="AC24" i="3"/>
  <c r="AD24" i="3"/>
  <c r="AE29" i="3"/>
  <c r="AD29" i="3"/>
  <c r="Q28" i="3"/>
  <c r="Q20" i="3"/>
  <c r="AD23" i="3"/>
  <c r="P28" i="3"/>
  <c r="P20" i="3"/>
  <c r="P19" i="3"/>
  <c r="Q19" i="3"/>
  <c r="Q18" i="3"/>
  <c r="P18" i="3"/>
  <c r="P15" i="3"/>
  <c r="AC23" i="3"/>
  <c r="Q15" i="3"/>
  <c r="Z62" i="1"/>
  <c r="Y62" i="1"/>
  <c r="AD21" i="3"/>
  <c r="AE21" i="3"/>
  <c r="AC15" i="3"/>
  <c r="AE15" i="3"/>
  <c r="AD20" i="3"/>
  <c r="AE20" i="3"/>
  <c r="AC27" i="3"/>
  <c r="AE27" i="3"/>
  <c r="P23" i="3"/>
  <c r="AC17" i="3"/>
  <c r="AE17" i="3"/>
  <c r="Q22" i="3"/>
  <c r="AD28" i="3"/>
  <c r="AC28" i="3"/>
  <c r="AD17" i="3"/>
  <c r="Q21" i="3"/>
  <c r="AD26" i="3"/>
  <c r="AD16" i="3"/>
  <c r="Q24" i="3"/>
  <c r="AF19" i="3"/>
  <c r="AC20" i="3"/>
  <c r="AC25" i="3"/>
  <c r="AD22" i="3"/>
  <c r="S26" i="3"/>
  <c r="AD15" i="3"/>
  <c r="AD27" i="3"/>
  <c r="AD25" i="3"/>
  <c r="S25" i="3"/>
  <c r="S29" i="3"/>
  <c r="AC22" i="3"/>
  <c r="AC26" i="3"/>
  <c r="Q23" i="3"/>
  <c r="AC18" i="3"/>
  <c r="AD18" i="3"/>
  <c r="P24" i="3"/>
  <c r="AC16" i="3"/>
  <c r="P21" i="3"/>
  <c r="Q27" i="3"/>
  <c r="Q17" i="3"/>
  <c r="P27" i="3"/>
  <c r="P22" i="3"/>
  <c r="P17" i="3"/>
  <c r="Z64" i="1"/>
  <c r="AA64" i="1"/>
  <c r="Q59" i="1"/>
  <c r="AA59" i="1"/>
  <c r="Y59" i="1"/>
  <c r="Q66" i="1"/>
  <c r="P65" i="1"/>
  <c r="Z59" i="1"/>
  <c r="P60" i="1"/>
  <c r="P64" i="1"/>
  <c r="Q67" i="1"/>
  <c r="Q63" i="1"/>
  <c r="O60" i="1"/>
  <c r="O67" i="1"/>
  <c r="P62" i="1"/>
  <c r="P63" i="1"/>
  <c r="Q61" i="1"/>
  <c r="O63" i="1"/>
  <c r="Q65" i="1"/>
  <c r="Q62" i="1"/>
  <c r="Q60" i="1"/>
  <c r="P61" i="1"/>
  <c r="P66" i="1"/>
  <c r="Q64" i="1"/>
  <c r="P67" i="1"/>
  <c r="O59" i="1"/>
  <c r="P59" i="1"/>
  <c r="L94" i="1"/>
  <c r="L96" i="1" s="1"/>
  <c r="K78" i="1"/>
  <c r="AF29" i="5" l="1"/>
  <c r="AG29" i="5" s="1"/>
  <c r="AI29" i="5" s="1"/>
  <c r="AF28" i="5"/>
  <c r="AG28" i="5" s="1"/>
  <c r="AI28" i="5" s="1"/>
  <c r="AJ28" i="5" s="1"/>
  <c r="AJ17" i="5"/>
  <c r="AF18" i="5"/>
  <c r="AG18" i="5" s="1"/>
  <c r="AI18" i="5" s="1"/>
  <c r="AJ19" i="5"/>
  <c r="AF20" i="5"/>
  <c r="AG20" i="5" s="1"/>
  <c r="AI20" i="5" s="1"/>
  <c r="AJ20" i="5" s="1"/>
  <c r="AJ23" i="5"/>
  <c r="AJ26" i="5"/>
  <c r="AJ18" i="5"/>
  <c r="Q34" i="5"/>
  <c r="Q48" i="5"/>
  <c r="R33" i="5"/>
  <c r="S29" i="5"/>
  <c r="T29" i="5" s="1"/>
  <c r="V29" i="5" s="1"/>
  <c r="AJ29" i="5" s="1"/>
  <c r="S23" i="5"/>
  <c r="T23" i="5" s="1"/>
  <c r="V23" i="5" s="1"/>
  <c r="AJ16" i="5"/>
  <c r="AH30" i="5"/>
  <c r="AI30" i="5"/>
  <c r="S18" i="5"/>
  <c r="T18" i="5" s="1"/>
  <c r="V18" i="5" s="1"/>
  <c r="AJ24" i="5"/>
  <c r="S22" i="5"/>
  <c r="T22" i="5" s="1"/>
  <c r="V22" i="5" s="1"/>
  <c r="AJ22" i="5" s="1"/>
  <c r="N55" i="5"/>
  <c r="N54" i="5"/>
  <c r="M57" i="5"/>
  <c r="M56" i="5"/>
  <c r="O53" i="5"/>
  <c r="S26" i="5"/>
  <c r="T26" i="5" s="1"/>
  <c r="V26" i="5" s="1"/>
  <c r="P50" i="5"/>
  <c r="P52" i="5" s="1"/>
  <c r="P51" i="5"/>
  <c r="AF24" i="3"/>
  <c r="S28" i="4"/>
  <c r="T28" i="4" s="1"/>
  <c r="V28" i="4" s="1"/>
  <c r="AJ28" i="4" s="1"/>
  <c r="AF22" i="4"/>
  <c r="AG22" i="4" s="1"/>
  <c r="AI22" i="4" s="1"/>
  <c r="S19" i="4"/>
  <c r="T19" i="4" s="1"/>
  <c r="V19" i="4" s="1"/>
  <c r="S25" i="4"/>
  <c r="T25" i="4" s="1"/>
  <c r="V25" i="4" s="1"/>
  <c r="AJ25" i="4" s="1"/>
  <c r="AJ17" i="4"/>
  <c r="S23" i="4"/>
  <c r="T23" i="4" s="1"/>
  <c r="V23" i="4" s="1"/>
  <c r="S24" i="4"/>
  <c r="T24" i="4" s="1"/>
  <c r="V24" i="4" s="1"/>
  <c r="S16" i="3"/>
  <c r="T16" i="3" s="1"/>
  <c r="V16" i="3" s="1"/>
  <c r="AF19" i="4"/>
  <c r="AG19" i="4" s="1"/>
  <c r="AI19" i="4" s="1"/>
  <c r="AF24" i="4"/>
  <c r="AG24" i="4" s="1"/>
  <c r="AI24" i="4" s="1"/>
  <c r="AF26" i="4"/>
  <c r="AG26" i="4" s="1"/>
  <c r="AI26" i="4" s="1"/>
  <c r="S27" i="4"/>
  <c r="T27" i="4" s="1"/>
  <c r="V27" i="4" s="1"/>
  <c r="S18" i="3"/>
  <c r="T18" i="3" s="1"/>
  <c r="V18" i="3" s="1"/>
  <c r="AF27" i="4"/>
  <c r="AG27" i="4" s="1"/>
  <c r="AI27" i="4" s="1"/>
  <c r="AF29" i="4"/>
  <c r="AG29" i="4" s="1"/>
  <c r="AI29" i="4" s="1"/>
  <c r="S15" i="4"/>
  <c r="T15" i="4" s="1"/>
  <c r="V15" i="4" s="1"/>
  <c r="AJ15" i="4" s="1"/>
  <c r="S21" i="4"/>
  <c r="T21" i="4" s="1"/>
  <c r="V21" i="4" s="1"/>
  <c r="R64" i="1"/>
  <c r="S64" i="1" s="1"/>
  <c r="S18" i="4"/>
  <c r="T18" i="4" s="1"/>
  <c r="V18" i="4" s="1"/>
  <c r="AF16" i="4"/>
  <c r="AG16" i="4" s="1"/>
  <c r="AI16" i="4" s="1"/>
  <c r="AF23" i="4"/>
  <c r="AG23" i="4" s="1"/>
  <c r="AI23" i="4" s="1"/>
  <c r="AF20" i="4"/>
  <c r="AG20" i="4" s="1"/>
  <c r="AI20" i="4" s="1"/>
  <c r="AJ20" i="4" s="1"/>
  <c r="L54" i="4"/>
  <c r="O34" i="4"/>
  <c r="P33" i="4"/>
  <c r="O48" i="4"/>
  <c r="N51" i="4"/>
  <c r="N50" i="4"/>
  <c r="N52" i="4" s="1"/>
  <c r="S26" i="4"/>
  <c r="T26" i="4" s="1"/>
  <c r="V26" i="4" s="1"/>
  <c r="AF21" i="4"/>
  <c r="AG21" i="4" s="1"/>
  <c r="AI21" i="4" s="1"/>
  <c r="S16" i="4"/>
  <c r="T16" i="4" s="1"/>
  <c r="V16" i="4" s="1"/>
  <c r="AF18" i="4"/>
  <c r="AG18" i="4" s="1"/>
  <c r="AI18" i="4" s="1"/>
  <c r="S22" i="4"/>
  <c r="T22" i="4" s="1"/>
  <c r="V22" i="4" s="1"/>
  <c r="AJ22" i="4" s="1"/>
  <c r="M53" i="4"/>
  <c r="S29" i="4"/>
  <c r="T29" i="4" s="1"/>
  <c r="V29" i="4" s="1"/>
  <c r="AF29" i="3"/>
  <c r="AG29" i="3" s="1"/>
  <c r="AI29" i="3" s="1"/>
  <c r="AF23" i="3"/>
  <c r="AG23" i="3" s="1"/>
  <c r="AI23" i="3" s="1"/>
  <c r="AB62" i="1"/>
  <c r="AC62" i="1" s="1"/>
  <c r="S19" i="3"/>
  <c r="T19" i="3" s="1"/>
  <c r="V19" i="3" s="1"/>
  <c r="S28" i="3"/>
  <c r="T28" i="3" s="1"/>
  <c r="V28" i="3" s="1"/>
  <c r="S20" i="3"/>
  <c r="T20" i="3" s="1"/>
  <c r="V20" i="3" s="1"/>
  <c r="R66" i="1"/>
  <c r="S66" i="1" s="1"/>
  <c r="AE66" i="1" s="1"/>
  <c r="S15" i="3"/>
  <c r="T15" i="3" s="1"/>
  <c r="V15" i="3" s="1"/>
  <c r="AF28" i="3"/>
  <c r="AG28" i="3" s="1"/>
  <c r="AI28" i="3" s="1"/>
  <c r="AF21" i="3"/>
  <c r="AG21" i="3" s="1"/>
  <c r="AI21" i="3" s="1"/>
  <c r="AG24" i="3"/>
  <c r="AI24" i="3" s="1"/>
  <c r="T29" i="3"/>
  <c r="V29" i="3" s="1"/>
  <c r="T25" i="3"/>
  <c r="V25" i="3" s="1"/>
  <c r="T26" i="3"/>
  <c r="V26" i="3" s="1"/>
  <c r="AG19" i="3"/>
  <c r="AI19" i="3" s="1"/>
  <c r="AF17" i="3"/>
  <c r="S27" i="3"/>
  <c r="AF20" i="3"/>
  <c r="AF15" i="3"/>
  <c r="AF16" i="3"/>
  <c r="AF25" i="3"/>
  <c r="AF26" i="3"/>
  <c r="AF27" i="3"/>
  <c r="AF22" i="3"/>
  <c r="S22" i="3"/>
  <c r="S23" i="3"/>
  <c r="AF18" i="3"/>
  <c r="S17" i="3"/>
  <c r="S21" i="3"/>
  <c r="S24" i="3"/>
  <c r="AB64" i="1"/>
  <c r="AC64" i="1" s="1"/>
  <c r="R65" i="1"/>
  <c r="S65" i="1" s="1"/>
  <c r="AE65" i="1" s="1"/>
  <c r="R67" i="1"/>
  <c r="S67" i="1" s="1"/>
  <c r="AE67" i="1" s="1"/>
  <c r="R60" i="1"/>
  <c r="S60" i="1" s="1"/>
  <c r="AE60" i="1" s="1"/>
  <c r="R63" i="1"/>
  <c r="S63" i="1" s="1"/>
  <c r="AE63" i="1" s="1"/>
  <c r="AB59" i="1"/>
  <c r="AC59" i="1" s="1"/>
  <c r="R62" i="1"/>
  <c r="S62" i="1" s="1"/>
  <c r="R61" i="1"/>
  <c r="S61" i="1" s="1"/>
  <c r="AE61" i="1" s="1"/>
  <c r="R59" i="1"/>
  <c r="S59" i="1" s="1"/>
  <c r="L78" i="1"/>
  <c r="M77" i="1"/>
  <c r="O55" i="5" l="1"/>
  <c r="O54" i="5"/>
  <c r="Q51" i="5"/>
  <c r="Q50" i="5"/>
  <c r="Q52" i="5" s="1"/>
  <c r="P53" i="5"/>
  <c r="M64" i="5"/>
  <c r="M65" i="5" s="1"/>
  <c r="M66" i="5" s="1"/>
  <c r="M59" i="5"/>
  <c r="R34" i="5"/>
  <c r="S33" i="5"/>
  <c r="R48" i="5"/>
  <c r="N57" i="5"/>
  <c r="N56" i="5"/>
  <c r="T30" i="5"/>
  <c r="M58" i="5"/>
  <c r="M60" i="5" s="1"/>
  <c r="AJ19" i="4"/>
  <c r="AJ16" i="4"/>
  <c r="AJ26" i="4"/>
  <c r="AJ27" i="4"/>
  <c r="AJ23" i="4"/>
  <c r="AJ24" i="4"/>
  <c r="AJ29" i="4"/>
  <c r="AE64" i="1"/>
  <c r="AE59" i="1"/>
  <c r="M74" i="1" s="1"/>
  <c r="AJ18" i="4"/>
  <c r="AJ21" i="4"/>
  <c r="AH30" i="4"/>
  <c r="AG30" i="4"/>
  <c r="N53" i="4"/>
  <c r="Q33" i="4"/>
  <c r="P34" i="4"/>
  <c r="P48" i="4"/>
  <c r="L55" i="4"/>
  <c r="L62" i="4"/>
  <c r="L63" i="4" s="1"/>
  <c r="L64" i="4" s="1"/>
  <c r="L57" i="4"/>
  <c r="T30" i="4"/>
  <c r="L56" i="4"/>
  <c r="L58" i="4" s="1"/>
  <c r="V30" i="4"/>
  <c r="U30" i="4"/>
  <c r="M54" i="4"/>
  <c r="O51" i="4"/>
  <c r="O50" i="4"/>
  <c r="O52" i="4" s="1"/>
  <c r="AJ29" i="3"/>
  <c r="AE62" i="1"/>
  <c r="AJ19" i="3"/>
  <c r="AJ28" i="3"/>
  <c r="AG22" i="3"/>
  <c r="AI22" i="3" s="1"/>
  <c r="AG27" i="3"/>
  <c r="AI27" i="3" s="1"/>
  <c r="AG26" i="3"/>
  <c r="AI26" i="3" s="1"/>
  <c r="AJ26" i="3" s="1"/>
  <c r="T23" i="3"/>
  <c r="V23" i="3" s="1"/>
  <c r="AJ23" i="3" s="1"/>
  <c r="T22" i="3"/>
  <c r="V22" i="3" s="1"/>
  <c r="AG16" i="3"/>
  <c r="AI16" i="3" s="1"/>
  <c r="AJ16" i="3" s="1"/>
  <c r="AG25" i="3"/>
  <c r="AI25" i="3" s="1"/>
  <c r="AJ25" i="3" s="1"/>
  <c r="AG15" i="3"/>
  <c r="AI15" i="3" s="1"/>
  <c r="AJ15" i="3" s="1"/>
  <c r="T24" i="3"/>
  <c r="V24" i="3" s="1"/>
  <c r="AJ24" i="3" s="1"/>
  <c r="T21" i="3"/>
  <c r="V21" i="3" s="1"/>
  <c r="AJ21" i="3" s="1"/>
  <c r="AG20" i="3"/>
  <c r="AI20" i="3" s="1"/>
  <c r="AJ20" i="3" s="1"/>
  <c r="T17" i="3"/>
  <c r="V17" i="3" s="1"/>
  <c r="T27" i="3"/>
  <c r="V27" i="3" s="1"/>
  <c r="AG18" i="3"/>
  <c r="AI18" i="3" s="1"/>
  <c r="AJ18" i="3" s="1"/>
  <c r="AG17" i="3"/>
  <c r="AI17" i="3" s="1"/>
  <c r="L74" i="1"/>
  <c r="L95" i="1"/>
  <c r="L97" i="1" s="1"/>
  <c r="L98" i="1" s="1"/>
  <c r="M78" i="1"/>
  <c r="M92" i="1"/>
  <c r="N77" i="1"/>
  <c r="M69" i="5" l="1"/>
  <c r="M70" i="5" s="1"/>
  <c r="M71" i="5" s="1"/>
  <c r="N69" i="5"/>
  <c r="N70" i="5" s="1"/>
  <c r="N59" i="5"/>
  <c r="S48" i="5"/>
  <c r="T33" i="5"/>
  <c r="S34" i="5"/>
  <c r="M61" i="5"/>
  <c r="E42" i="5" s="1" a="1"/>
  <c r="O56" i="5"/>
  <c r="O58" i="5" s="1"/>
  <c r="O60" i="5" s="1"/>
  <c r="O57" i="5"/>
  <c r="R51" i="5"/>
  <c r="R50" i="5"/>
  <c r="R52" i="5" s="1"/>
  <c r="Q53" i="5"/>
  <c r="P54" i="5"/>
  <c r="P55" i="5"/>
  <c r="N58" i="5"/>
  <c r="N60" i="5" s="1"/>
  <c r="L30" i="4"/>
  <c r="N38" i="4" s="1"/>
  <c r="K30" i="4"/>
  <c r="O53" i="4"/>
  <c r="L59" i="4"/>
  <c r="P50" i="4"/>
  <c r="P52" i="4" s="1"/>
  <c r="P51" i="4"/>
  <c r="Q48" i="4"/>
  <c r="R33" i="4"/>
  <c r="Q34" i="4"/>
  <c r="M55" i="4"/>
  <c r="L67" i="4"/>
  <c r="L68" i="4" s="1"/>
  <c r="L69" i="4" s="1"/>
  <c r="M67" i="4"/>
  <c r="M68" i="4" s="1"/>
  <c r="M57" i="4"/>
  <c r="M56" i="4"/>
  <c r="M58" i="4" s="1"/>
  <c r="N54" i="4"/>
  <c r="AJ17" i="3"/>
  <c r="AJ22" i="3"/>
  <c r="AJ27" i="3"/>
  <c r="V30" i="3"/>
  <c r="AI30" i="3"/>
  <c r="AH30" i="3"/>
  <c r="AG30" i="3"/>
  <c r="U30" i="3"/>
  <c r="T30" i="3"/>
  <c r="K30" i="3" s="1"/>
  <c r="M79" i="1"/>
  <c r="L79" i="1"/>
  <c r="K79" i="1"/>
  <c r="M94" i="1"/>
  <c r="M96" i="1" s="1"/>
  <c r="M95" i="1"/>
  <c r="M97" i="1" s="1"/>
  <c r="M98" i="1" s="1"/>
  <c r="N78" i="1"/>
  <c r="N79" i="1" s="1"/>
  <c r="N92" i="1"/>
  <c r="O77" i="1"/>
  <c r="O92" i="1" s="1"/>
  <c r="N71" i="5" l="1"/>
  <c r="P56" i="5"/>
  <c r="P58" i="5" s="1"/>
  <c r="P60" i="5" s="1"/>
  <c r="P57" i="5"/>
  <c r="Q55" i="5"/>
  <c r="Q54" i="5"/>
  <c r="S51" i="5"/>
  <c r="S50" i="5"/>
  <c r="S52" i="5" s="1"/>
  <c r="T48" i="5"/>
  <c r="T34" i="5"/>
  <c r="U33" i="5"/>
  <c r="N61" i="5"/>
  <c r="N74" i="5"/>
  <c r="N75" i="5" s="1"/>
  <c r="O74" i="5"/>
  <c r="O75" i="5" s="1"/>
  <c r="M74" i="5"/>
  <c r="M75" i="5" s="1"/>
  <c r="M76" i="5" s="1"/>
  <c r="O59" i="5"/>
  <c r="O61" i="5" s="1"/>
  <c r="R53" i="5"/>
  <c r="S38" i="4"/>
  <c r="L38" i="4"/>
  <c r="P38" i="4"/>
  <c r="T38" i="4"/>
  <c r="V38" i="4"/>
  <c r="W38" i="4"/>
  <c r="Y38" i="4"/>
  <c r="O38" i="4"/>
  <c r="M38" i="4"/>
  <c r="K38" i="4"/>
  <c r="U38" i="4"/>
  <c r="X38" i="4"/>
  <c r="R38" i="4"/>
  <c r="Q38" i="4"/>
  <c r="M59" i="4"/>
  <c r="R48" i="4"/>
  <c r="S33" i="4"/>
  <c r="R34" i="4"/>
  <c r="O54" i="4"/>
  <c r="M69" i="4"/>
  <c r="N55" i="4"/>
  <c r="L72" i="4"/>
  <c r="L73" i="4" s="1"/>
  <c r="L74" i="4" s="1"/>
  <c r="N72" i="4"/>
  <c r="N73" i="4" s="1"/>
  <c r="M72" i="4"/>
  <c r="M73" i="4" s="1"/>
  <c r="N57" i="4"/>
  <c r="Q51" i="4"/>
  <c r="Q50" i="4"/>
  <c r="Q52" i="4" s="1"/>
  <c r="N56" i="4"/>
  <c r="N58" i="4" s="1"/>
  <c r="P53" i="4"/>
  <c r="M30" i="3"/>
  <c r="L30" i="3"/>
  <c r="N94" i="1"/>
  <c r="N96" i="1" s="1"/>
  <c r="O94" i="1"/>
  <c r="N95" i="1"/>
  <c r="P77" i="1"/>
  <c r="P92" i="1" s="1"/>
  <c r="O78" i="1"/>
  <c r="O79" i="1" s="1"/>
  <c r="T50" i="5" l="1"/>
  <c r="T52" i="5" s="1"/>
  <c r="T51" i="5"/>
  <c r="Q57" i="5"/>
  <c r="Q56" i="5"/>
  <c r="U34" i="5"/>
  <c r="U48" i="5"/>
  <c r="V33" i="5"/>
  <c r="R55" i="5"/>
  <c r="R54" i="5"/>
  <c r="N76" i="5"/>
  <c r="O76" i="5" s="1"/>
  <c r="S53" i="5"/>
  <c r="M79" i="5"/>
  <c r="M80" i="5" s="1"/>
  <c r="M81" i="5" s="1"/>
  <c r="O79" i="5"/>
  <c r="O80" i="5" s="1"/>
  <c r="P79" i="5"/>
  <c r="P80" i="5" s="1"/>
  <c r="N79" i="5"/>
  <c r="N80" i="5" s="1"/>
  <c r="P59" i="5"/>
  <c r="P61" i="5" s="1"/>
  <c r="O95" i="1"/>
  <c r="N97" i="1"/>
  <c r="N98" i="1" s="1"/>
  <c r="O37" i="3"/>
  <c r="L37" i="3"/>
  <c r="M74" i="4"/>
  <c r="N74" i="4" s="1"/>
  <c r="O55" i="4"/>
  <c r="O77" i="4"/>
  <c r="O78" i="4" s="1"/>
  <c r="L77" i="4"/>
  <c r="L78" i="4" s="1"/>
  <c r="L79" i="4" s="1"/>
  <c r="N77" i="4"/>
  <c r="N78" i="4" s="1"/>
  <c r="M77" i="4"/>
  <c r="M78" i="4" s="1"/>
  <c r="O57" i="4"/>
  <c r="N59" i="4"/>
  <c r="O56" i="4"/>
  <c r="O58" i="4" s="1"/>
  <c r="S48" i="4"/>
  <c r="S34" i="4"/>
  <c r="T33" i="4"/>
  <c r="P54" i="4"/>
  <c r="P56" i="4" s="1"/>
  <c r="P58" i="4" s="1"/>
  <c r="R51" i="4"/>
  <c r="R50" i="4"/>
  <c r="R52" i="4" s="1"/>
  <c r="Q53" i="4"/>
  <c r="K35" i="3"/>
  <c r="K37" i="3"/>
  <c r="M37" i="3"/>
  <c r="U37" i="3"/>
  <c r="Q37" i="3"/>
  <c r="V37" i="3"/>
  <c r="P37" i="3"/>
  <c r="N37" i="3"/>
  <c r="Z37" i="3"/>
  <c r="Y37" i="3"/>
  <c r="T37" i="3"/>
  <c r="W37" i="3"/>
  <c r="X37" i="3"/>
  <c r="R37" i="3"/>
  <c r="S37" i="3"/>
  <c r="L103" i="1"/>
  <c r="L108" i="1"/>
  <c r="L109" i="1" s="1"/>
  <c r="L110" i="1" s="1"/>
  <c r="O96" i="1"/>
  <c r="P95" i="1"/>
  <c r="P94" i="1"/>
  <c r="L102" i="1"/>
  <c r="P78" i="1"/>
  <c r="P79" i="1" s="1"/>
  <c r="Q77" i="1"/>
  <c r="Q92" i="1" s="1"/>
  <c r="N81" i="5" l="1"/>
  <c r="O81" i="5" s="1"/>
  <c r="P81" i="5" s="1"/>
  <c r="Q84" i="5"/>
  <c r="Q85" i="5" s="1"/>
  <c r="M84" i="5"/>
  <c r="M85" i="5" s="1"/>
  <c r="M86" i="5" s="1"/>
  <c r="N84" i="5"/>
  <c r="N85" i="5" s="1"/>
  <c r="O84" i="5"/>
  <c r="O85" i="5" s="1"/>
  <c r="P84" i="5"/>
  <c r="P85" i="5" s="1"/>
  <c r="Q59" i="5"/>
  <c r="S54" i="5"/>
  <c r="S55" i="5"/>
  <c r="T53" i="5"/>
  <c r="R58" i="5"/>
  <c r="R60" i="5" s="1"/>
  <c r="V48" i="5"/>
  <c r="W33" i="5"/>
  <c r="V34" i="5"/>
  <c r="R57" i="5"/>
  <c r="R56" i="5"/>
  <c r="U51" i="5"/>
  <c r="U50" i="5"/>
  <c r="U52" i="5" s="1"/>
  <c r="Q58" i="5"/>
  <c r="Q60" i="5" s="1"/>
  <c r="O97" i="1"/>
  <c r="O98" i="1" s="1"/>
  <c r="T48" i="4"/>
  <c r="T34" i="4"/>
  <c r="U33" i="4"/>
  <c r="S50" i="4"/>
  <c r="S52" i="4" s="1"/>
  <c r="S51" i="4"/>
  <c r="M79" i="4"/>
  <c r="N79" i="4" s="1"/>
  <c r="O79" i="4" s="1"/>
  <c r="R53" i="4"/>
  <c r="O59" i="4"/>
  <c r="Q54" i="4"/>
  <c r="P55" i="4"/>
  <c r="L82" i="4"/>
  <c r="L83" i="4" s="1"/>
  <c r="L84" i="4" s="1"/>
  <c r="O82" i="4"/>
  <c r="O83" i="4" s="1"/>
  <c r="P82" i="4"/>
  <c r="P83" i="4" s="1"/>
  <c r="N82" i="4"/>
  <c r="N83" i="4" s="1"/>
  <c r="M82" i="4"/>
  <c r="M83" i="4" s="1"/>
  <c r="P57" i="4"/>
  <c r="P59" i="4" s="1"/>
  <c r="M103" i="1"/>
  <c r="M113" i="1"/>
  <c r="M114" i="1" s="1"/>
  <c r="L113" i="1"/>
  <c r="L114" i="1" s="1"/>
  <c r="L115" i="1" s="1"/>
  <c r="L104" i="1"/>
  <c r="L105" i="1" s="1"/>
  <c r="P96" i="1"/>
  <c r="Q95" i="1"/>
  <c r="Q94" i="1"/>
  <c r="M102" i="1"/>
  <c r="M104" i="1" s="1"/>
  <c r="R77" i="1"/>
  <c r="R92" i="1" s="1"/>
  <c r="Q78" i="1"/>
  <c r="Q79" i="1" s="1"/>
  <c r="N86" i="5" l="1"/>
  <c r="O86" i="5" s="1"/>
  <c r="P86" i="5" s="1"/>
  <c r="Q86" i="5" s="1"/>
  <c r="Q61" i="5"/>
  <c r="T54" i="5"/>
  <c r="T55" i="5"/>
  <c r="U53" i="5"/>
  <c r="S56" i="5"/>
  <c r="S57" i="5"/>
  <c r="Q89" i="5"/>
  <c r="Q90" i="5" s="1"/>
  <c r="R89" i="5"/>
  <c r="R90" i="5" s="1"/>
  <c r="M89" i="5"/>
  <c r="M90" i="5" s="1"/>
  <c r="M91" i="5" s="1"/>
  <c r="N89" i="5"/>
  <c r="N90" i="5" s="1"/>
  <c r="P89" i="5"/>
  <c r="P90" i="5" s="1"/>
  <c r="O89" i="5"/>
  <c r="O90" i="5" s="1"/>
  <c r="R59" i="5"/>
  <c r="R61" i="5" s="1"/>
  <c r="W48" i="5"/>
  <c r="X33" i="5"/>
  <c r="W34" i="5"/>
  <c r="V50" i="5"/>
  <c r="V52" i="5" s="1"/>
  <c r="V51" i="5"/>
  <c r="P97" i="1"/>
  <c r="P98" i="1" s="1"/>
  <c r="N118" i="1"/>
  <c r="N119" i="1" s="1"/>
  <c r="M118" i="1"/>
  <c r="M119" i="1" s="1"/>
  <c r="L118" i="1"/>
  <c r="L119" i="1" s="1"/>
  <c r="L120" i="1" s="1"/>
  <c r="N103" i="1"/>
  <c r="N102" i="1"/>
  <c r="N104" i="1" s="1"/>
  <c r="N105" i="1" s="1"/>
  <c r="M84" i="4"/>
  <c r="N84" i="4" s="1"/>
  <c r="O84" i="4" s="1"/>
  <c r="P84" i="4" s="1"/>
  <c r="S53" i="4"/>
  <c r="U48" i="4"/>
  <c r="U34" i="4"/>
  <c r="V33" i="4"/>
  <c r="Q55" i="4"/>
  <c r="P87" i="4"/>
  <c r="P88" i="4" s="1"/>
  <c r="O87" i="4"/>
  <c r="O88" i="4" s="1"/>
  <c r="L87" i="4"/>
  <c r="L88" i="4" s="1"/>
  <c r="L89" i="4" s="1"/>
  <c r="Q87" i="4"/>
  <c r="Q88" i="4" s="1"/>
  <c r="M87" i="4"/>
  <c r="M88" i="4" s="1"/>
  <c r="N87" i="4"/>
  <c r="N88" i="4" s="1"/>
  <c r="Q57" i="4"/>
  <c r="Q56" i="4"/>
  <c r="Q58" i="4" s="1"/>
  <c r="R54" i="4"/>
  <c r="R56" i="4" s="1"/>
  <c r="R58" i="4" s="1"/>
  <c r="T51" i="4"/>
  <c r="T50" i="4"/>
  <c r="T52" i="4" s="1"/>
  <c r="M105" i="1"/>
  <c r="M115" i="1"/>
  <c r="O103" i="1"/>
  <c r="L123" i="1"/>
  <c r="L124" i="1" s="1"/>
  <c r="L125" i="1" s="1"/>
  <c r="M123" i="1"/>
  <c r="M124" i="1" s="1"/>
  <c r="N123" i="1"/>
  <c r="N124" i="1" s="1"/>
  <c r="O123" i="1"/>
  <c r="O124" i="1" s="1"/>
  <c r="M120" i="1"/>
  <c r="Q96" i="1"/>
  <c r="R95" i="1"/>
  <c r="R94" i="1"/>
  <c r="O102" i="1"/>
  <c r="O104" i="1" s="1"/>
  <c r="R78" i="1"/>
  <c r="R79" i="1" s="1"/>
  <c r="S77" i="1"/>
  <c r="S92" i="1" s="1"/>
  <c r="N91" i="5" l="1"/>
  <c r="O91" i="5" s="1"/>
  <c r="P91" i="5" s="1"/>
  <c r="Q91" i="5" s="1"/>
  <c r="R91" i="5" s="1"/>
  <c r="X48" i="5"/>
  <c r="Y33" i="5"/>
  <c r="X34" i="5"/>
  <c r="Q94" i="5"/>
  <c r="Q95" i="5" s="1"/>
  <c r="R94" i="5"/>
  <c r="R95" i="5" s="1"/>
  <c r="O94" i="5"/>
  <c r="O95" i="5" s="1"/>
  <c r="N94" i="5"/>
  <c r="N95" i="5" s="1"/>
  <c r="S94" i="5"/>
  <c r="S95" i="5" s="1"/>
  <c r="M94" i="5"/>
  <c r="M95" i="5" s="1"/>
  <c r="M96" i="5" s="1"/>
  <c r="P94" i="5"/>
  <c r="P95" i="5" s="1"/>
  <c r="S59" i="5"/>
  <c r="U55" i="5"/>
  <c r="U54" i="5"/>
  <c r="S58" i="5"/>
  <c r="S60" i="5" s="1"/>
  <c r="T56" i="5"/>
  <c r="T57" i="5"/>
  <c r="W51" i="5"/>
  <c r="W50" i="5"/>
  <c r="W52" i="5" s="1"/>
  <c r="V53" i="5"/>
  <c r="Q97" i="1"/>
  <c r="Q98" i="1" s="1"/>
  <c r="N120" i="1"/>
  <c r="M89" i="4"/>
  <c r="N89" i="4" s="1"/>
  <c r="O89" i="4" s="1"/>
  <c r="P89" i="4" s="1"/>
  <c r="Q89" i="4" s="1"/>
  <c r="U51" i="4"/>
  <c r="U50" i="4"/>
  <c r="U52" i="4" s="1"/>
  <c r="V34" i="4"/>
  <c r="W33" i="4"/>
  <c r="V48" i="4"/>
  <c r="O92" i="4"/>
  <c r="O93" i="4" s="1"/>
  <c r="R55" i="4"/>
  <c r="P92" i="4"/>
  <c r="P93" i="4" s="1"/>
  <c r="L92" i="4"/>
  <c r="L93" i="4" s="1"/>
  <c r="L94" i="4" s="1"/>
  <c r="N92" i="4"/>
  <c r="N93" i="4" s="1"/>
  <c r="R92" i="4"/>
  <c r="R93" i="4" s="1"/>
  <c r="M92" i="4"/>
  <c r="M93" i="4" s="1"/>
  <c r="Q92" i="4"/>
  <c r="Q93" i="4" s="1"/>
  <c r="R57" i="4"/>
  <c r="R59" i="4" s="1"/>
  <c r="Q59" i="4"/>
  <c r="T53" i="4"/>
  <c r="S54" i="4"/>
  <c r="S56" i="4" s="1"/>
  <c r="S58" i="4" s="1"/>
  <c r="M125" i="1"/>
  <c r="N125" i="1" s="1"/>
  <c r="O125" i="1" s="1"/>
  <c r="P103" i="1"/>
  <c r="N128" i="1"/>
  <c r="N129" i="1" s="1"/>
  <c r="P128" i="1"/>
  <c r="P129" i="1" s="1"/>
  <c r="L128" i="1"/>
  <c r="L129" i="1" s="1"/>
  <c r="L130" i="1" s="1"/>
  <c r="M128" i="1"/>
  <c r="M129" i="1" s="1"/>
  <c r="O128" i="1"/>
  <c r="O129" i="1" s="1"/>
  <c r="O105" i="1"/>
  <c r="R96" i="1"/>
  <c r="S94" i="1"/>
  <c r="S95" i="1"/>
  <c r="P102" i="1"/>
  <c r="P104" i="1" s="1"/>
  <c r="T77" i="1"/>
  <c r="T92" i="1" s="1"/>
  <c r="S78" i="1"/>
  <c r="S79" i="1" s="1"/>
  <c r="N96" i="5" l="1"/>
  <c r="O96" i="5" s="1"/>
  <c r="P96" i="5" s="1"/>
  <c r="Q96" i="5" s="1"/>
  <c r="R96" i="5" s="1"/>
  <c r="S96" i="5" s="1"/>
  <c r="S61" i="5"/>
  <c r="V55" i="5"/>
  <c r="V54" i="5"/>
  <c r="U56" i="5"/>
  <c r="U57" i="5"/>
  <c r="W53" i="5"/>
  <c r="Y48" i="5"/>
  <c r="Z33" i="5"/>
  <c r="Y34" i="5"/>
  <c r="T99" i="5"/>
  <c r="T100" i="5" s="1"/>
  <c r="R99" i="5"/>
  <c r="R100" i="5" s="1"/>
  <c r="S99" i="5"/>
  <c r="S100" i="5" s="1"/>
  <c r="Q99" i="5"/>
  <c r="Q100" i="5" s="1"/>
  <c r="M99" i="5"/>
  <c r="M100" i="5" s="1"/>
  <c r="M101" i="5" s="1"/>
  <c r="P99" i="5"/>
  <c r="P100" i="5" s="1"/>
  <c r="O99" i="5"/>
  <c r="O100" i="5" s="1"/>
  <c r="N99" i="5"/>
  <c r="N100" i="5" s="1"/>
  <c r="T59" i="5"/>
  <c r="T58" i="5"/>
  <c r="T60" i="5" s="1"/>
  <c r="U58" i="5"/>
  <c r="U60" i="5" s="1"/>
  <c r="X51" i="5"/>
  <c r="X50" i="5"/>
  <c r="X52" i="5" s="1"/>
  <c r="R97" i="1"/>
  <c r="R98" i="1" s="1"/>
  <c r="T54" i="4"/>
  <c r="T56" i="4" s="1"/>
  <c r="T58" i="4" s="1"/>
  <c r="V50" i="4"/>
  <c r="V52" i="4" s="1"/>
  <c r="V51" i="4"/>
  <c r="U53" i="4"/>
  <c r="M94" i="4"/>
  <c r="N94" i="4" s="1"/>
  <c r="O94" i="4" s="1"/>
  <c r="P94" i="4" s="1"/>
  <c r="Q94" i="4" s="1"/>
  <c r="R94" i="4" s="1"/>
  <c r="W48" i="4"/>
  <c r="X33" i="4"/>
  <c r="W34" i="4"/>
  <c r="S55" i="4"/>
  <c r="L97" i="4"/>
  <c r="L98" i="4" s="1"/>
  <c r="L99" i="4" s="1"/>
  <c r="Q97" i="4"/>
  <c r="Q98" i="4" s="1"/>
  <c r="R97" i="4"/>
  <c r="R98" i="4" s="1"/>
  <c r="S97" i="4"/>
  <c r="S98" i="4" s="1"/>
  <c r="P97" i="4"/>
  <c r="P98" i="4" s="1"/>
  <c r="O97" i="4"/>
  <c r="O98" i="4" s="1"/>
  <c r="N97" i="4"/>
  <c r="N98" i="4" s="1"/>
  <c r="M97" i="4"/>
  <c r="M98" i="4" s="1"/>
  <c r="S57" i="4"/>
  <c r="S59" i="4" s="1"/>
  <c r="P105" i="1"/>
  <c r="M130" i="1"/>
  <c r="N130" i="1" s="1"/>
  <c r="O130" i="1" s="1"/>
  <c r="P130" i="1" s="1"/>
  <c r="Q103" i="1"/>
  <c r="M133" i="1"/>
  <c r="M134" i="1" s="1"/>
  <c r="O133" i="1"/>
  <c r="O134" i="1" s="1"/>
  <c r="N133" i="1"/>
  <c r="N134" i="1" s="1"/>
  <c r="P133" i="1"/>
  <c r="P134" i="1" s="1"/>
  <c r="Q133" i="1"/>
  <c r="Q134" i="1" s="1"/>
  <c r="L133" i="1"/>
  <c r="L134" i="1" s="1"/>
  <c r="L135" i="1" s="1"/>
  <c r="S96" i="1"/>
  <c r="T94" i="1"/>
  <c r="T95" i="1"/>
  <c r="Q102" i="1"/>
  <c r="Q104" i="1" s="1"/>
  <c r="U77" i="1"/>
  <c r="U92" i="1" s="1"/>
  <c r="T78" i="1"/>
  <c r="T79" i="1" s="1"/>
  <c r="Z34" i="5" l="1"/>
  <c r="Z48" i="5"/>
  <c r="W54" i="5"/>
  <c r="W55" i="5"/>
  <c r="T104" i="5"/>
  <c r="T105" i="5" s="1"/>
  <c r="Q104" i="5"/>
  <c r="Q105" i="5" s="1"/>
  <c r="U104" i="5"/>
  <c r="U105" i="5" s="1"/>
  <c r="R104" i="5"/>
  <c r="R105" i="5" s="1"/>
  <c r="S104" i="5"/>
  <c r="S105" i="5" s="1"/>
  <c r="O104" i="5"/>
  <c r="O105" i="5" s="1"/>
  <c r="M104" i="5"/>
  <c r="M105" i="5" s="1"/>
  <c r="M106" i="5" s="1"/>
  <c r="P104" i="5"/>
  <c r="P105" i="5" s="1"/>
  <c r="N104" i="5"/>
  <c r="N105" i="5" s="1"/>
  <c r="U59" i="5"/>
  <c r="U61" i="5" s="1"/>
  <c r="X53" i="5"/>
  <c r="Y51" i="5"/>
  <c r="Y50" i="5"/>
  <c r="Y52" i="5" s="1"/>
  <c r="T61" i="5"/>
  <c r="N101" i="5"/>
  <c r="O101" i="5" s="1"/>
  <c r="P101" i="5" s="1"/>
  <c r="Q101" i="5" s="1"/>
  <c r="R101" i="5" s="1"/>
  <c r="S101" i="5" s="1"/>
  <c r="T101" i="5" s="1"/>
  <c r="V57" i="5"/>
  <c r="V56" i="5"/>
  <c r="V58" i="5" s="1"/>
  <c r="V60" i="5" s="1"/>
  <c r="S97" i="1"/>
  <c r="S98" i="1" s="1"/>
  <c r="M99" i="4"/>
  <c r="N99" i="4" s="1"/>
  <c r="O99" i="4" s="1"/>
  <c r="P99" i="4" s="1"/>
  <c r="Q99" i="4" s="1"/>
  <c r="R99" i="4" s="1"/>
  <c r="S99" i="4" s="1"/>
  <c r="Y33" i="4"/>
  <c r="X34" i="4"/>
  <c r="X48" i="4"/>
  <c r="U54" i="4"/>
  <c r="U56" i="4" s="1"/>
  <c r="U58" i="4" s="1"/>
  <c r="V53" i="4"/>
  <c r="W51" i="4"/>
  <c r="W50" i="4"/>
  <c r="W52" i="4" s="1"/>
  <c r="T55" i="4"/>
  <c r="O102" i="4"/>
  <c r="O103" i="4" s="1"/>
  <c r="L102" i="4"/>
  <c r="L103" i="4" s="1"/>
  <c r="L104" i="4" s="1"/>
  <c r="P102" i="4"/>
  <c r="P103" i="4" s="1"/>
  <c r="Q102" i="4"/>
  <c r="Q103" i="4" s="1"/>
  <c r="S102" i="4"/>
  <c r="S103" i="4" s="1"/>
  <c r="T102" i="4"/>
  <c r="T103" i="4" s="1"/>
  <c r="M102" i="4"/>
  <c r="M103" i="4" s="1"/>
  <c r="R102" i="4"/>
  <c r="R103" i="4" s="1"/>
  <c r="N102" i="4"/>
  <c r="N103" i="4" s="1"/>
  <c r="T57" i="4"/>
  <c r="T59" i="4" s="1"/>
  <c r="M135" i="1"/>
  <c r="N135" i="1" s="1"/>
  <c r="O135" i="1" s="1"/>
  <c r="P135" i="1" s="1"/>
  <c r="Q135" i="1" s="1"/>
  <c r="Q105" i="1"/>
  <c r="R103" i="1"/>
  <c r="L138" i="1"/>
  <c r="L139" i="1" s="1"/>
  <c r="L140" i="1" s="1"/>
  <c r="M138" i="1"/>
  <c r="M139" i="1" s="1"/>
  <c r="O138" i="1"/>
  <c r="O139" i="1" s="1"/>
  <c r="P138" i="1"/>
  <c r="P139" i="1" s="1"/>
  <c r="R138" i="1"/>
  <c r="R139" i="1" s="1"/>
  <c r="N138" i="1"/>
  <c r="N139" i="1" s="1"/>
  <c r="Q138" i="1"/>
  <c r="Q139" i="1" s="1"/>
  <c r="T96" i="1"/>
  <c r="U94" i="1"/>
  <c r="U95" i="1"/>
  <c r="R102" i="1"/>
  <c r="R104" i="1" s="1"/>
  <c r="U78" i="1"/>
  <c r="U79" i="1" s="1"/>
  <c r="V77" i="1"/>
  <c r="V92" i="1" s="1"/>
  <c r="N106" i="5" l="1"/>
  <c r="O106" i="5" s="1"/>
  <c r="P106" i="5" s="1"/>
  <c r="Q106" i="5" s="1"/>
  <c r="R106" i="5" s="1"/>
  <c r="S106" i="5" s="1"/>
  <c r="T106" i="5" s="1"/>
  <c r="U106" i="5" s="1"/>
  <c r="Y53" i="5"/>
  <c r="W57" i="5"/>
  <c r="W56" i="5"/>
  <c r="X54" i="5"/>
  <c r="X55" i="5"/>
  <c r="Z51" i="5"/>
  <c r="Z50" i="5"/>
  <c r="Z52" i="5" s="1"/>
  <c r="T109" i="5"/>
  <c r="T110" i="5" s="1"/>
  <c r="Q109" i="5"/>
  <c r="Q110" i="5" s="1"/>
  <c r="R109" i="5"/>
  <c r="R110" i="5" s="1"/>
  <c r="U109" i="5"/>
  <c r="U110" i="5" s="1"/>
  <c r="V109" i="5"/>
  <c r="V110" i="5" s="1"/>
  <c r="P109" i="5"/>
  <c r="P110" i="5" s="1"/>
  <c r="M109" i="5"/>
  <c r="M110" i="5" s="1"/>
  <c r="M111" i="5" s="1"/>
  <c r="O109" i="5"/>
  <c r="O110" i="5" s="1"/>
  <c r="N109" i="5"/>
  <c r="N110" i="5" s="1"/>
  <c r="S109" i="5"/>
  <c r="S110" i="5" s="1"/>
  <c r="V59" i="5"/>
  <c r="V61" i="5" s="1"/>
  <c r="T97" i="1"/>
  <c r="T98" i="1" s="1"/>
  <c r="V54" i="4"/>
  <c r="V56" i="4" s="1"/>
  <c r="V58" i="4" s="1"/>
  <c r="X51" i="4"/>
  <c r="X50" i="4"/>
  <c r="X52" i="4" s="1"/>
  <c r="W53" i="4"/>
  <c r="M104" i="4"/>
  <c r="N104" i="4" s="1"/>
  <c r="O104" i="4" s="1"/>
  <c r="P104" i="4" s="1"/>
  <c r="Q104" i="4" s="1"/>
  <c r="R104" i="4" s="1"/>
  <c r="S104" i="4" s="1"/>
  <c r="T104" i="4" s="1"/>
  <c r="U55" i="4"/>
  <c r="O107" i="4"/>
  <c r="O108" i="4" s="1"/>
  <c r="U107" i="4"/>
  <c r="U108" i="4" s="1"/>
  <c r="P107" i="4"/>
  <c r="P108" i="4" s="1"/>
  <c r="L107" i="4"/>
  <c r="L108" i="4" s="1"/>
  <c r="L109" i="4" s="1"/>
  <c r="M107" i="4"/>
  <c r="M108" i="4" s="1"/>
  <c r="S107" i="4"/>
  <c r="S108" i="4" s="1"/>
  <c r="Q107" i="4"/>
  <c r="Q108" i="4" s="1"/>
  <c r="N107" i="4"/>
  <c r="N108" i="4" s="1"/>
  <c r="R107" i="4"/>
  <c r="R108" i="4" s="1"/>
  <c r="T107" i="4"/>
  <c r="T108" i="4" s="1"/>
  <c r="U57" i="4"/>
  <c r="U59" i="4" s="1"/>
  <c r="Y34" i="4"/>
  <c r="Y48" i="4"/>
  <c r="S103" i="1"/>
  <c r="O143" i="1"/>
  <c r="O144" i="1" s="1"/>
  <c r="M143" i="1"/>
  <c r="M144" i="1" s="1"/>
  <c r="N143" i="1"/>
  <c r="N144" i="1" s="1"/>
  <c r="Q143" i="1"/>
  <c r="Q144" i="1" s="1"/>
  <c r="L143" i="1"/>
  <c r="L144" i="1" s="1"/>
  <c r="L145" i="1" s="1"/>
  <c r="S143" i="1"/>
  <c r="S144" i="1" s="1"/>
  <c r="R143" i="1"/>
  <c r="R144" i="1" s="1"/>
  <c r="P143" i="1"/>
  <c r="P144" i="1" s="1"/>
  <c r="R105" i="1"/>
  <c r="M140" i="1"/>
  <c r="N140" i="1" s="1"/>
  <c r="O140" i="1" s="1"/>
  <c r="P140" i="1" s="1"/>
  <c r="Q140" i="1" s="1"/>
  <c r="R140" i="1" s="1"/>
  <c r="U96" i="1"/>
  <c r="U97" i="1" s="1"/>
  <c r="U98" i="1" s="1"/>
  <c r="V94" i="1"/>
  <c r="V95" i="1"/>
  <c r="S102" i="1"/>
  <c r="S104" i="1" s="1"/>
  <c r="W77" i="1"/>
  <c r="W92" i="1" s="1"/>
  <c r="V78" i="1"/>
  <c r="V79" i="1" s="1"/>
  <c r="Z53" i="5" l="1"/>
  <c r="T114" i="5"/>
  <c r="T115" i="5" s="1"/>
  <c r="Q114" i="5"/>
  <c r="Q115" i="5" s="1"/>
  <c r="S114" i="5"/>
  <c r="S115" i="5" s="1"/>
  <c r="P114" i="5"/>
  <c r="P115" i="5" s="1"/>
  <c r="V114" i="5"/>
  <c r="V115" i="5" s="1"/>
  <c r="R114" i="5"/>
  <c r="R115" i="5" s="1"/>
  <c r="O114" i="5"/>
  <c r="O115" i="5" s="1"/>
  <c r="W114" i="5"/>
  <c r="W115" i="5" s="1"/>
  <c r="U114" i="5"/>
  <c r="U115" i="5" s="1"/>
  <c r="M114" i="5"/>
  <c r="M115" i="5" s="1"/>
  <c r="M116" i="5" s="1"/>
  <c r="N114" i="5"/>
  <c r="N115" i="5" s="1"/>
  <c r="W59" i="5"/>
  <c r="W58" i="5"/>
  <c r="W60" i="5" s="1"/>
  <c r="Y55" i="5"/>
  <c r="Y54" i="5"/>
  <c r="X57" i="5"/>
  <c r="X56" i="5"/>
  <c r="N111" i="5"/>
  <c r="O111" i="5" s="1"/>
  <c r="P111" i="5" s="1"/>
  <c r="Q111" i="5" s="1"/>
  <c r="R111" i="5" s="1"/>
  <c r="S111" i="5" s="1"/>
  <c r="T111" i="5" s="1"/>
  <c r="U111" i="5" s="1"/>
  <c r="V111" i="5" s="1"/>
  <c r="Y51" i="4"/>
  <c r="Y50" i="4"/>
  <c r="Y52" i="4" s="1"/>
  <c r="W54" i="4"/>
  <c r="W56" i="4" s="1"/>
  <c r="W58" i="4" s="1"/>
  <c r="X53" i="4"/>
  <c r="M109" i="4"/>
  <c r="N109" i="4" s="1"/>
  <c r="O109" i="4" s="1"/>
  <c r="P109" i="4" s="1"/>
  <c r="Q109" i="4" s="1"/>
  <c r="R109" i="4" s="1"/>
  <c r="S109" i="4" s="1"/>
  <c r="T109" i="4" s="1"/>
  <c r="U109" i="4" s="1"/>
  <c r="V55" i="4"/>
  <c r="Q112" i="4"/>
  <c r="Q113" i="4" s="1"/>
  <c r="L112" i="4"/>
  <c r="L113" i="4" s="1"/>
  <c r="L114" i="4" s="1"/>
  <c r="R112" i="4"/>
  <c r="R113" i="4" s="1"/>
  <c r="S112" i="4"/>
  <c r="S113" i="4" s="1"/>
  <c r="T112" i="4"/>
  <c r="T113" i="4" s="1"/>
  <c r="N112" i="4"/>
  <c r="N113" i="4" s="1"/>
  <c r="P112" i="4"/>
  <c r="P113" i="4" s="1"/>
  <c r="V112" i="4"/>
  <c r="V113" i="4" s="1"/>
  <c r="O112" i="4"/>
  <c r="O113" i="4" s="1"/>
  <c r="M112" i="4"/>
  <c r="M113" i="4" s="1"/>
  <c r="U112" i="4"/>
  <c r="U113" i="4" s="1"/>
  <c r="V57" i="4"/>
  <c r="V59" i="4" s="1"/>
  <c r="M145" i="1"/>
  <c r="N145" i="1" s="1"/>
  <c r="O145" i="1" s="1"/>
  <c r="P145" i="1" s="1"/>
  <c r="Q145" i="1" s="1"/>
  <c r="R145" i="1" s="1"/>
  <c r="S145" i="1" s="1"/>
  <c r="S105" i="1"/>
  <c r="T103" i="1"/>
  <c r="M148" i="1"/>
  <c r="M149" i="1" s="1"/>
  <c r="O148" i="1"/>
  <c r="O149" i="1" s="1"/>
  <c r="Q148" i="1"/>
  <c r="Q149" i="1" s="1"/>
  <c r="N148" i="1"/>
  <c r="N149" i="1" s="1"/>
  <c r="S148" i="1"/>
  <c r="S149" i="1" s="1"/>
  <c r="T148" i="1"/>
  <c r="T149" i="1" s="1"/>
  <c r="R148" i="1"/>
  <c r="R149" i="1" s="1"/>
  <c r="L148" i="1"/>
  <c r="L149" i="1" s="1"/>
  <c r="L150" i="1" s="1"/>
  <c r="P148" i="1"/>
  <c r="P149" i="1" s="1"/>
  <c r="V96" i="1"/>
  <c r="V97" i="1" s="1"/>
  <c r="V98" i="1" s="1"/>
  <c r="W94" i="1"/>
  <c r="W95" i="1"/>
  <c r="T102" i="1"/>
  <c r="T104" i="1" s="1"/>
  <c r="W78" i="1"/>
  <c r="W79" i="1" s="1"/>
  <c r="X77" i="1"/>
  <c r="Y57" i="5" l="1"/>
  <c r="Y56" i="5"/>
  <c r="Y58" i="5" s="1"/>
  <c r="Y60" i="5" s="1"/>
  <c r="R119" i="5"/>
  <c r="R120" i="5" s="1"/>
  <c r="Q119" i="5"/>
  <c r="Q120" i="5" s="1"/>
  <c r="T119" i="5"/>
  <c r="T120" i="5" s="1"/>
  <c r="W119" i="5"/>
  <c r="W120" i="5" s="1"/>
  <c r="P119" i="5"/>
  <c r="P120" i="5" s="1"/>
  <c r="S119" i="5"/>
  <c r="S120" i="5" s="1"/>
  <c r="O119" i="5"/>
  <c r="O120" i="5" s="1"/>
  <c r="M119" i="5"/>
  <c r="M120" i="5" s="1"/>
  <c r="M121" i="5" s="1"/>
  <c r="U119" i="5"/>
  <c r="U120" i="5" s="1"/>
  <c r="V119" i="5"/>
  <c r="V120" i="5" s="1"/>
  <c r="N119" i="5"/>
  <c r="N120" i="5" s="1"/>
  <c r="X119" i="5"/>
  <c r="X120" i="5" s="1"/>
  <c r="X59" i="5"/>
  <c r="W61" i="5"/>
  <c r="Z55" i="5"/>
  <c r="Z54" i="5"/>
  <c r="N116" i="5"/>
  <c r="O116" i="5" s="1"/>
  <c r="P116" i="5" s="1"/>
  <c r="Q116" i="5" s="1"/>
  <c r="R116" i="5" s="1"/>
  <c r="S116" i="5" s="1"/>
  <c r="T116" i="5" s="1"/>
  <c r="U116" i="5" s="1"/>
  <c r="V116" i="5" s="1"/>
  <c r="W116" i="5" s="1"/>
  <c r="X58" i="5"/>
  <c r="X60" i="5" s="1"/>
  <c r="W97" i="1"/>
  <c r="W98" i="1" s="1"/>
  <c r="M114" i="4"/>
  <c r="N114" i="4" s="1"/>
  <c r="O114" i="4" s="1"/>
  <c r="P114" i="4" s="1"/>
  <c r="Q114" i="4" s="1"/>
  <c r="R114" i="4" s="1"/>
  <c r="S114" i="4" s="1"/>
  <c r="T114" i="4" s="1"/>
  <c r="U114" i="4" s="1"/>
  <c r="V114" i="4" s="1"/>
  <c r="X54" i="4"/>
  <c r="Y53" i="4"/>
  <c r="W55" i="4"/>
  <c r="L117" i="4"/>
  <c r="L118" i="4" s="1"/>
  <c r="L119" i="4" s="1"/>
  <c r="P117" i="4"/>
  <c r="P118" i="4" s="1"/>
  <c r="U117" i="4"/>
  <c r="U118" i="4" s="1"/>
  <c r="O117" i="4"/>
  <c r="O118" i="4" s="1"/>
  <c r="V117" i="4"/>
  <c r="V118" i="4" s="1"/>
  <c r="M117" i="4"/>
  <c r="M118" i="4" s="1"/>
  <c r="T117" i="4"/>
  <c r="T118" i="4" s="1"/>
  <c r="N117" i="4"/>
  <c r="N118" i="4" s="1"/>
  <c r="Q117" i="4"/>
  <c r="Q118" i="4" s="1"/>
  <c r="W117" i="4"/>
  <c r="W118" i="4" s="1"/>
  <c r="S117" i="4"/>
  <c r="S118" i="4" s="1"/>
  <c r="R117" i="4"/>
  <c r="R118" i="4" s="1"/>
  <c r="W57" i="4"/>
  <c r="W59" i="4" s="1"/>
  <c r="M150" i="1"/>
  <c r="N150" i="1" s="1"/>
  <c r="O150" i="1" s="1"/>
  <c r="P150" i="1" s="1"/>
  <c r="Q150" i="1" s="1"/>
  <c r="R150" i="1" s="1"/>
  <c r="S150" i="1" s="1"/>
  <c r="T150" i="1" s="1"/>
  <c r="T105" i="1"/>
  <c r="W96" i="1"/>
  <c r="X78" i="1"/>
  <c r="X79" i="1" s="1"/>
  <c r="Y77" i="1"/>
  <c r="X92" i="1"/>
  <c r="N121" i="5" l="1"/>
  <c r="O121" i="5" s="1"/>
  <c r="P121" i="5" s="1"/>
  <c r="Q121" i="5" s="1"/>
  <c r="R121" i="5" s="1"/>
  <c r="S121" i="5" s="1"/>
  <c r="T121" i="5" s="1"/>
  <c r="U121" i="5" s="1"/>
  <c r="V121" i="5" s="1"/>
  <c r="W121" i="5" s="1"/>
  <c r="X121" i="5" s="1"/>
  <c r="X61" i="5"/>
  <c r="Z57" i="5"/>
  <c r="Z56" i="5"/>
  <c r="V124" i="5"/>
  <c r="V125" i="5" s="1"/>
  <c r="W124" i="5"/>
  <c r="W125" i="5" s="1"/>
  <c r="T124" i="5"/>
  <c r="T125" i="5" s="1"/>
  <c r="S124" i="5"/>
  <c r="S125" i="5" s="1"/>
  <c r="X124" i="5"/>
  <c r="X125" i="5" s="1"/>
  <c r="Q124" i="5"/>
  <c r="Q125" i="5" s="1"/>
  <c r="U124" i="5"/>
  <c r="U125" i="5" s="1"/>
  <c r="Y124" i="5"/>
  <c r="Y125" i="5" s="1"/>
  <c r="O124" i="5"/>
  <c r="O125" i="5" s="1"/>
  <c r="P124" i="5"/>
  <c r="P125" i="5" s="1"/>
  <c r="R124" i="5"/>
  <c r="R125" i="5" s="1"/>
  <c r="M124" i="5"/>
  <c r="M125" i="5" s="1"/>
  <c r="M126" i="5" s="1"/>
  <c r="N124" i="5"/>
  <c r="N125" i="5" s="1"/>
  <c r="Y59" i="5"/>
  <c r="Y61" i="5" s="1"/>
  <c r="Z58" i="5"/>
  <c r="Z60" i="5" s="1"/>
  <c r="U103" i="1"/>
  <c r="R153" i="1"/>
  <c r="R154" i="1" s="1"/>
  <c r="P153" i="1"/>
  <c r="P154" i="1" s="1"/>
  <c r="N153" i="1"/>
  <c r="N154" i="1" s="1"/>
  <c r="U102" i="1"/>
  <c r="U104" i="1" s="1"/>
  <c r="S153" i="1"/>
  <c r="S154" i="1" s="1"/>
  <c r="O153" i="1"/>
  <c r="O154" i="1" s="1"/>
  <c r="M153" i="1"/>
  <c r="M154" i="1" s="1"/>
  <c r="U153" i="1"/>
  <c r="U154" i="1" s="1"/>
  <c r="L153" i="1"/>
  <c r="L154" i="1" s="1"/>
  <c r="L155" i="1" s="1"/>
  <c r="M155" i="1" s="1"/>
  <c r="N155" i="1" s="1"/>
  <c r="O155" i="1" s="1"/>
  <c r="Q153" i="1"/>
  <c r="Q154" i="1" s="1"/>
  <c r="T153" i="1"/>
  <c r="T154" i="1" s="1"/>
  <c r="M119" i="4"/>
  <c r="N119" i="4" s="1"/>
  <c r="O119" i="4" s="1"/>
  <c r="P119" i="4" s="1"/>
  <c r="Q119" i="4" s="1"/>
  <c r="R119" i="4" s="1"/>
  <c r="S119" i="4" s="1"/>
  <c r="T119" i="4" s="1"/>
  <c r="U119" i="4" s="1"/>
  <c r="V119" i="4" s="1"/>
  <c r="W119" i="4" s="1"/>
  <c r="U122" i="4"/>
  <c r="U123" i="4" s="1"/>
  <c r="O122" i="4"/>
  <c r="O123" i="4" s="1"/>
  <c r="X55" i="4"/>
  <c r="W122" i="4"/>
  <c r="W123" i="4" s="1"/>
  <c r="P122" i="4"/>
  <c r="P123" i="4" s="1"/>
  <c r="X122" i="4"/>
  <c r="X123" i="4" s="1"/>
  <c r="R122" i="4"/>
  <c r="R123" i="4" s="1"/>
  <c r="L122" i="4"/>
  <c r="L123" i="4" s="1"/>
  <c r="L124" i="4" s="1"/>
  <c r="Q122" i="4"/>
  <c r="Q123" i="4" s="1"/>
  <c r="S122" i="4"/>
  <c r="S123" i="4" s="1"/>
  <c r="N122" i="4"/>
  <c r="N123" i="4" s="1"/>
  <c r="M122" i="4"/>
  <c r="M123" i="4" s="1"/>
  <c r="V122" i="4"/>
  <c r="V123" i="4" s="1"/>
  <c r="T122" i="4"/>
  <c r="T123" i="4" s="1"/>
  <c r="X57" i="4"/>
  <c r="Y54" i="4"/>
  <c r="X56" i="4"/>
  <c r="X58" i="4" s="1"/>
  <c r="X94" i="1"/>
  <c r="X96" i="1" s="1"/>
  <c r="X95" i="1"/>
  <c r="X97" i="1" s="1"/>
  <c r="X98" i="1" s="1"/>
  <c r="Y78" i="1"/>
  <c r="Y79" i="1" s="1"/>
  <c r="Y92" i="1"/>
  <c r="N126" i="5" l="1"/>
  <c r="O126" i="5" s="1"/>
  <c r="P126" i="5" s="1"/>
  <c r="Q126" i="5" s="1"/>
  <c r="R126" i="5" s="1"/>
  <c r="S126" i="5" s="1"/>
  <c r="T126" i="5" s="1"/>
  <c r="U126" i="5" s="1"/>
  <c r="V126" i="5" s="1"/>
  <c r="W126" i="5" s="1"/>
  <c r="X126" i="5" s="1"/>
  <c r="Y126" i="5" s="1"/>
  <c r="T129" i="5"/>
  <c r="T130" i="5" s="1"/>
  <c r="V129" i="5"/>
  <c r="V130" i="5" s="1"/>
  <c r="Q129" i="5"/>
  <c r="Q130" i="5" s="1"/>
  <c r="X129" i="5"/>
  <c r="X130" i="5" s="1"/>
  <c r="Z129" i="5"/>
  <c r="Z130" i="5" s="1"/>
  <c r="W129" i="5"/>
  <c r="W130" i="5" s="1"/>
  <c r="S129" i="5"/>
  <c r="S130" i="5" s="1"/>
  <c r="M129" i="5"/>
  <c r="M130" i="5" s="1"/>
  <c r="M131" i="5" s="1"/>
  <c r="P129" i="5"/>
  <c r="P130" i="5" s="1"/>
  <c r="R129" i="5"/>
  <c r="R130" i="5" s="1"/>
  <c r="N129" i="5"/>
  <c r="N130" i="5" s="1"/>
  <c r="Y129" i="5"/>
  <c r="Y130" i="5" s="1"/>
  <c r="U129" i="5"/>
  <c r="U130" i="5" s="1"/>
  <c r="O129" i="5"/>
  <c r="O130" i="5" s="1"/>
  <c r="Z59" i="5"/>
  <c r="Z61" i="5" s="1"/>
  <c r="E42" i="5" s="1"/>
  <c r="U105" i="1"/>
  <c r="P155" i="1"/>
  <c r="Q155" i="1" s="1"/>
  <c r="R155" i="1" s="1"/>
  <c r="S155" i="1" s="1"/>
  <c r="T155" i="1" s="1"/>
  <c r="U155" i="1" s="1"/>
  <c r="N158" i="1"/>
  <c r="N159" i="1" s="1"/>
  <c r="R158" i="1"/>
  <c r="R159" i="1" s="1"/>
  <c r="Q158" i="1"/>
  <c r="Q159" i="1" s="1"/>
  <c r="M158" i="1"/>
  <c r="M159" i="1" s="1"/>
  <c r="T158" i="1"/>
  <c r="T159" i="1" s="1"/>
  <c r="V103" i="1"/>
  <c r="O158" i="1"/>
  <c r="O159" i="1" s="1"/>
  <c r="L158" i="1"/>
  <c r="L159" i="1" s="1"/>
  <c r="L160" i="1" s="1"/>
  <c r="M160" i="1" s="1"/>
  <c r="N160" i="1" s="1"/>
  <c r="O160" i="1" s="1"/>
  <c r="V158" i="1"/>
  <c r="V159" i="1" s="1"/>
  <c r="P158" i="1"/>
  <c r="P159" i="1" s="1"/>
  <c r="V102" i="1"/>
  <c r="V104" i="1" s="1"/>
  <c r="U158" i="1"/>
  <c r="U159" i="1" s="1"/>
  <c r="S158" i="1"/>
  <c r="S159" i="1" s="1"/>
  <c r="M124" i="4"/>
  <c r="N124" i="4" s="1"/>
  <c r="O124" i="4" s="1"/>
  <c r="P124" i="4" s="1"/>
  <c r="Q124" i="4" s="1"/>
  <c r="R124" i="4" s="1"/>
  <c r="S124" i="4" s="1"/>
  <c r="T124" i="4" s="1"/>
  <c r="U124" i="4" s="1"/>
  <c r="V124" i="4" s="1"/>
  <c r="W124" i="4" s="1"/>
  <c r="X124" i="4" s="1"/>
  <c r="Y55" i="4"/>
  <c r="R127" i="4"/>
  <c r="R128" i="4" s="1"/>
  <c r="T127" i="4"/>
  <c r="T128" i="4" s="1"/>
  <c r="P127" i="4"/>
  <c r="P128" i="4" s="1"/>
  <c r="L127" i="4"/>
  <c r="L128" i="4" s="1"/>
  <c r="L129" i="4" s="1"/>
  <c r="M127" i="4"/>
  <c r="M128" i="4" s="1"/>
  <c r="O127" i="4"/>
  <c r="O128" i="4" s="1"/>
  <c r="Y127" i="4"/>
  <c r="Y128" i="4" s="1"/>
  <c r="S127" i="4"/>
  <c r="S128" i="4" s="1"/>
  <c r="W127" i="4"/>
  <c r="W128" i="4" s="1"/>
  <c r="U127" i="4"/>
  <c r="U128" i="4" s="1"/>
  <c r="Q127" i="4"/>
  <c r="Q128" i="4" s="1"/>
  <c r="X127" i="4"/>
  <c r="X128" i="4" s="1"/>
  <c r="N127" i="4"/>
  <c r="N128" i="4" s="1"/>
  <c r="V127" i="4"/>
  <c r="V128" i="4" s="1"/>
  <c r="Y57" i="4"/>
  <c r="Y56" i="4"/>
  <c r="Y58" i="4" s="1"/>
  <c r="X59" i="4"/>
  <c r="W103" i="1"/>
  <c r="U163" i="1"/>
  <c r="U164" i="1" s="1"/>
  <c r="T163" i="1"/>
  <c r="T164" i="1" s="1"/>
  <c r="V163" i="1"/>
  <c r="V164" i="1" s="1"/>
  <c r="W163" i="1"/>
  <c r="W164" i="1" s="1"/>
  <c r="O163" i="1"/>
  <c r="O164" i="1" s="1"/>
  <c r="L163" i="1"/>
  <c r="L164" i="1" s="1"/>
  <c r="L165" i="1" s="1"/>
  <c r="N163" i="1"/>
  <c r="N164" i="1" s="1"/>
  <c r="S163" i="1"/>
  <c r="S164" i="1" s="1"/>
  <c r="Q163" i="1"/>
  <c r="Q164" i="1" s="1"/>
  <c r="P163" i="1"/>
  <c r="P164" i="1" s="1"/>
  <c r="M163" i="1"/>
  <c r="M164" i="1" s="1"/>
  <c r="R163" i="1"/>
  <c r="R164" i="1" s="1"/>
  <c r="Y95" i="1"/>
  <c r="Y94" i="1"/>
  <c r="Y96" i="1" s="1"/>
  <c r="W102" i="1"/>
  <c r="W104" i="1" s="1"/>
  <c r="N131" i="5" l="1"/>
  <c r="O131" i="5" s="1"/>
  <c r="P131" i="5" s="1"/>
  <c r="Q131" i="5" s="1"/>
  <c r="R131" i="5" s="1"/>
  <c r="S131" i="5" s="1"/>
  <c r="T131" i="5" s="1"/>
  <c r="U131" i="5" s="1"/>
  <c r="V131" i="5" s="1"/>
  <c r="W131" i="5" s="1"/>
  <c r="X131" i="5" s="1"/>
  <c r="Y131" i="5" s="1"/>
  <c r="Z131" i="5" s="1"/>
  <c r="E44" i="5"/>
  <c r="E43" i="5"/>
  <c r="E47" i="5"/>
  <c r="Y97" i="1"/>
  <c r="Y98" i="1" s="1"/>
  <c r="V105" i="1"/>
  <c r="P160" i="1"/>
  <c r="Q160" i="1" s="1"/>
  <c r="R160" i="1" s="1"/>
  <c r="S160" i="1" s="1"/>
  <c r="T160" i="1" s="1"/>
  <c r="U160" i="1" s="1"/>
  <c r="V160" i="1" s="1"/>
  <c r="M129" i="4"/>
  <c r="N129" i="4" s="1"/>
  <c r="O129" i="4" s="1"/>
  <c r="P129" i="4" s="1"/>
  <c r="Q129" i="4" s="1"/>
  <c r="R129" i="4" s="1"/>
  <c r="S129" i="4" s="1"/>
  <c r="T129" i="4" s="1"/>
  <c r="U129" i="4" s="1"/>
  <c r="V129" i="4" s="1"/>
  <c r="W129" i="4" s="1"/>
  <c r="X129" i="4" s="1"/>
  <c r="Y129" i="4" s="1"/>
  <c r="Y59" i="4"/>
  <c r="W105" i="1"/>
  <c r="M165" i="1"/>
  <c r="N165" i="1" s="1"/>
  <c r="O165" i="1" s="1"/>
  <c r="P165" i="1" s="1"/>
  <c r="Q165" i="1" s="1"/>
  <c r="R165" i="1" s="1"/>
  <c r="S165" i="1" s="1"/>
  <c r="T165" i="1" s="1"/>
  <c r="U165" i="1" s="1"/>
  <c r="V165" i="1" s="1"/>
  <c r="W165" i="1" s="1"/>
  <c r="E45" i="5" l="1"/>
  <c r="E46" i="5"/>
  <c r="Q168" i="1"/>
  <c r="Q169" i="1" s="1"/>
  <c r="P168" i="1"/>
  <c r="P169" i="1" s="1"/>
  <c r="R168" i="1"/>
  <c r="R169" i="1" s="1"/>
  <c r="X103" i="1"/>
  <c r="S168" i="1"/>
  <c r="S169" i="1" s="1"/>
  <c r="X102" i="1"/>
  <c r="X104" i="1" s="1"/>
  <c r="X105" i="1" s="1"/>
  <c r="L168" i="1"/>
  <c r="L169" i="1" s="1"/>
  <c r="L170" i="1" s="1"/>
  <c r="U168" i="1"/>
  <c r="U169" i="1" s="1"/>
  <c r="T168" i="1"/>
  <c r="T169" i="1" s="1"/>
  <c r="V168" i="1"/>
  <c r="V169" i="1" s="1"/>
  <c r="N168" i="1"/>
  <c r="N169" i="1" s="1"/>
  <c r="O168" i="1"/>
  <c r="O169" i="1" s="1"/>
  <c r="X168" i="1"/>
  <c r="X169" i="1" s="1"/>
  <c r="M168" i="1"/>
  <c r="M169" i="1" s="1"/>
  <c r="W168" i="1"/>
  <c r="W169" i="1" s="1"/>
  <c r="M170" i="1" l="1"/>
  <c r="N170" i="1" s="1"/>
  <c r="O170" i="1" s="1"/>
  <c r="P170" i="1" s="1"/>
  <c r="Q170" i="1" s="1"/>
  <c r="R170" i="1" s="1"/>
  <c r="S170" i="1" s="1"/>
  <c r="T170" i="1" s="1"/>
  <c r="U170" i="1" s="1"/>
  <c r="V170" i="1" s="1"/>
  <c r="W170" i="1" s="1"/>
  <c r="X170" i="1" s="1"/>
  <c r="V173" i="1"/>
  <c r="V174" i="1" s="1"/>
  <c r="U173" i="1"/>
  <c r="U174" i="1" s="1"/>
  <c r="R173" i="1"/>
  <c r="R174" i="1" s="1"/>
  <c r="W173" i="1"/>
  <c r="W174" i="1" s="1"/>
  <c r="T173" i="1"/>
  <c r="T174" i="1" s="1"/>
  <c r="Q173" i="1"/>
  <c r="Q174" i="1" s="1"/>
  <c r="S173" i="1"/>
  <c r="S174" i="1" s="1"/>
  <c r="Y173" i="1"/>
  <c r="Y174" i="1" s="1"/>
  <c r="Y102" i="1"/>
  <c r="Y104" i="1" s="1"/>
  <c r="O173" i="1"/>
  <c r="O174" i="1" s="1"/>
  <c r="Y103" i="1"/>
  <c r="N173" i="1"/>
  <c r="N174" i="1" s="1"/>
  <c r="L173" i="1"/>
  <c r="L174" i="1" s="1"/>
  <c r="L175" i="1" s="1"/>
  <c r="P173" i="1"/>
  <c r="P174" i="1" s="1"/>
  <c r="M173" i="1"/>
  <c r="M174" i="1" s="1"/>
  <c r="X173" i="1"/>
  <c r="X174" i="1" s="1"/>
  <c r="H74" i="1"/>
  <c r="P83" i="1" s="1"/>
  <c r="F74" i="1"/>
  <c r="Y105" i="1" l="1"/>
  <c r="E86" i="1" s="1" a="1"/>
  <c r="E86" i="1" s="1"/>
  <c r="E91" i="1" s="1"/>
  <c r="L33" i="3" s="1"/>
  <c r="M175" i="1"/>
  <c r="N175" i="1" s="1"/>
  <c r="O175" i="1" s="1"/>
  <c r="P175" i="1" s="1"/>
  <c r="Q175" i="1" s="1"/>
  <c r="R175" i="1" s="1"/>
  <c r="S175" i="1" s="1"/>
  <c r="T175" i="1" s="1"/>
  <c r="U175" i="1" s="1"/>
  <c r="V175" i="1" s="1"/>
  <c r="W175" i="1" s="1"/>
  <c r="X175" i="1" s="1"/>
  <c r="Y175" i="1" s="1"/>
  <c r="T83" i="1"/>
  <c r="S83" i="1"/>
  <c r="U83" i="1"/>
  <c r="N83" i="1"/>
  <c r="Y83" i="1"/>
  <c r="X83" i="1"/>
  <c r="O83" i="1"/>
  <c r="M83" i="1"/>
  <c r="R83" i="1"/>
  <c r="L83" i="1"/>
  <c r="W83" i="1"/>
  <c r="Q83" i="1"/>
  <c r="K83" i="1"/>
  <c r="V83" i="1"/>
  <c r="G74" i="1"/>
  <c r="E87" i="1" l="1"/>
  <c r="E88" i="1"/>
  <c r="E90" i="1" s="1"/>
  <c r="L34" i="3"/>
  <c r="L35" i="3" s="1"/>
  <c r="M33" i="3"/>
  <c r="E89" i="1"/>
  <c r="Q82" i="1"/>
  <c r="S82" i="1"/>
  <c r="U82" i="1"/>
  <c r="V82" i="1"/>
  <c r="W82" i="1"/>
  <c r="L82" i="1"/>
  <c r="R82" i="1"/>
  <c r="M82" i="1"/>
  <c r="T82" i="1"/>
  <c r="N82" i="1"/>
  <c r="O82" i="1"/>
  <c r="K82" i="1"/>
  <c r="P82" i="1"/>
  <c r="X82" i="1"/>
  <c r="Y82" i="1"/>
  <c r="E74" i="1"/>
  <c r="K73" i="1"/>
  <c r="T73" i="1" s="1"/>
  <c r="U73" i="1"/>
  <c r="AD73" i="1" s="1"/>
  <c r="M34" i="3" l="1"/>
  <c r="M35" i="3" s="1"/>
  <c r="N33" i="3"/>
  <c r="M48" i="3"/>
  <c r="L73" i="1"/>
  <c r="N73" i="1" s="1"/>
  <c r="L80" i="1"/>
  <c r="X80" i="1"/>
  <c r="P80" i="1"/>
  <c r="Q80" i="1"/>
  <c r="M80" i="1"/>
  <c r="Y80" i="1"/>
  <c r="N80" i="1"/>
  <c r="O80" i="1"/>
  <c r="R80" i="1"/>
  <c r="T80" i="1"/>
  <c r="U80" i="1"/>
  <c r="V80" i="1"/>
  <c r="W80" i="1"/>
  <c r="S80" i="1"/>
  <c r="K80" i="1"/>
  <c r="V73" i="1"/>
  <c r="X73" i="1" s="1"/>
  <c r="M88" i="1"/>
  <c r="M73" i="1"/>
  <c r="Q73" i="1" s="1"/>
  <c r="L88" i="1"/>
  <c r="V88" i="1"/>
  <c r="P88" i="1"/>
  <c r="T88" i="1"/>
  <c r="W88" i="1"/>
  <c r="K88" i="1"/>
  <c r="X88" i="1"/>
  <c r="N88" i="1"/>
  <c r="R88" i="1"/>
  <c r="S88" i="1"/>
  <c r="O88" i="1"/>
  <c r="Y88" i="1"/>
  <c r="Q88" i="1"/>
  <c r="U88" i="1"/>
  <c r="M50" i="3" l="1"/>
  <c r="M52" i="3" s="1"/>
  <c r="M51" i="3"/>
  <c r="N34" i="3"/>
  <c r="N35" i="3" s="1"/>
  <c r="N48" i="3"/>
  <c r="O33" i="3"/>
  <c r="W73" i="1"/>
  <c r="Z73" i="1" s="1"/>
  <c r="O73" i="1"/>
  <c r="P73" i="1"/>
  <c r="R73" i="1" s="1"/>
  <c r="S73" i="1" s="1"/>
  <c r="K68" i="1"/>
  <c r="L68" i="1" s="1"/>
  <c r="M53" i="3" l="1"/>
  <c r="O34" i="3"/>
  <c r="O35" i="3" s="1"/>
  <c r="P33" i="3"/>
  <c r="O48" i="3"/>
  <c r="Y73" i="1"/>
  <c r="N50" i="3"/>
  <c r="N52" i="3" s="1"/>
  <c r="N51" i="3"/>
  <c r="AA73" i="1"/>
  <c r="AB73" i="1" s="1"/>
  <c r="AC73" i="1" s="1"/>
  <c r="AE73" i="1" s="1"/>
  <c r="T68" i="1"/>
  <c r="M68" i="1"/>
  <c r="O68" i="1" s="1"/>
  <c r="N68" i="1"/>
  <c r="U68" i="1"/>
  <c r="M54" i="3" l="1"/>
  <c r="M55" i="3"/>
  <c r="N53" i="3"/>
  <c r="O50" i="3"/>
  <c r="O52" i="3" s="1"/>
  <c r="O51" i="3"/>
  <c r="P34" i="3"/>
  <c r="P35" i="3" s="1"/>
  <c r="P48" i="3"/>
  <c r="Q33" i="3"/>
  <c r="P68" i="1"/>
  <c r="V68" i="1"/>
  <c r="AD68" i="1"/>
  <c r="Q68" i="1"/>
  <c r="N54" i="3" l="1"/>
  <c r="N55" i="3"/>
  <c r="O53" i="3"/>
  <c r="Q34" i="3"/>
  <c r="Q35" i="3" s="1"/>
  <c r="Q48" i="3"/>
  <c r="R33" i="3"/>
  <c r="P51" i="3"/>
  <c r="P50" i="3"/>
  <c r="P52" i="3" s="1"/>
  <c r="R68" i="1"/>
  <c r="S68" i="1" s="1"/>
  <c r="X68" i="1"/>
  <c r="W68" i="1"/>
  <c r="O54" i="3" l="1"/>
  <c r="O55" i="3"/>
  <c r="N57" i="3"/>
  <c r="N56" i="3"/>
  <c r="P53" i="3"/>
  <c r="R34" i="3"/>
  <c r="R35" i="3" s="1"/>
  <c r="R48" i="3"/>
  <c r="S33" i="3"/>
  <c r="Q51" i="3"/>
  <c r="Q50" i="3"/>
  <c r="Q52" i="3" s="1"/>
  <c r="AA68" i="1"/>
  <c r="Z68" i="1"/>
  <c r="Y68" i="1"/>
  <c r="K69" i="1"/>
  <c r="P54" i="3" l="1"/>
  <c r="P55" i="3"/>
  <c r="M69" i="3"/>
  <c r="M70" i="3" s="1"/>
  <c r="M71" i="3" s="1"/>
  <c r="N69" i="3"/>
  <c r="N70" i="3" s="1"/>
  <c r="N59" i="3"/>
  <c r="N58" i="3"/>
  <c r="N60" i="3" s="1"/>
  <c r="O57" i="3"/>
  <c r="O56" i="3"/>
  <c r="N74" i="3" s="1"/>
  <c r="N75" i="3" s="1"/>
  <c r="Q53" i="3"/>
  <c r="S34" i="3"/>
  <c r="S35" i="3" s="1"/>
  <c r="S48" i="3"/>
  <c r="T33" i="3"/>
  <c r="R50" i="3"/>
  <c r="R52" i="3" s="1"/>
  <c r="R51" i="3"/>
  <c r="AB68" i="1"/>
  <c r="AC68" i="1" s="1"/>
  <c r="AE68" i="1" s="1"/>
  <c r="T69" i="1"/>
  <c r="L69" i="1"/>
  <c r="U69" i="1"/>
  <c r="N61" i="3" l="1"/>
  <c r="R53" i="3"/>
  <c r="O58" i="3"/>
  <c r="O60" i="3" s="1"/>
  <c r="Q54" i="3"/>
  <c r="Q55" i="3"/>
  <c r="R54" i="3"/>
  <c r="R55" i="3"/>
  <c r="O59" i="3"/>
  <c r="O74" i="3"/>
  <c r="O75" i="3" s="1"/>
  <c r="M74" i="3"/>
  <c r="M75" i="3" s="1"/>
  <c r="M76" i="3" s="1"/>
  <c r="N76" i="3" s="1"/>
  <c r="P57" i="3"/>
  <c r="P56" i="3"/>
  <c r="P58" i="3" s="1"/>
  <c r="P60" i="3" s="1"/>
  <c r="N71" i="3"/>
  <c r="S50" i="3"/>
  <c r="S52" i="3" s="1"/>
  <c r="S51" i="3"/>
  <c r="T34" i="3"/>
  <c r="T35" i="3" s="1"/>
  <c r="T48" i="3"/>
  <c r="U33" i="3"/>
  <c r="N69" i="1"/>
  <c r="M69" i="1"/>
  <c r="V69" i="1"/>
  <c r="AD69" i="1"/>
  <c r="O61" i="3" l="1"/>
  <c r="O76" i="3"/>
  <c r="S53" i="3"/>
  <c r="S54" i="3" s="1"/>
  <c r="P79" i="3"/>
  <c r="P80" i="3" s="1"/>
  <c r="P59" i="3"/>
  <c r="P61" i="3" s="1"/>
  <c r="O79" i="3"/>
  <c r="O80" i="3" s="1"/>
  <c r="M79" i="3"/>
  <c r="M80" i="3" s="1"/>
  <c r="M81" i="3" s="1"/>
  <c r="N79" i="3"/>
  <c r="N80" i="3" s="1"/>
  <c r="Q57" i="3"/>
  <c r="Q56" i="3"/>
  <c r="R57" i="3"/>
  <c r="R56" i="3"/>
  <c r="R58" i="3" s="1"/>
  <c r="R60" i="3" s="1"/>
  <c r="U34" i="3"/>
  <c r="U35" i="3" s="1"/>
  <c r="U48" i="3"/>
  <c r="V33" i="3"/>
  <c r="T51" i="3"/>
  <c r="T50" i="3"/>
  <c r="T52" i="3" s="1"/>
  <c r="Q69" i="1"/>
  <c r="O69" i="1"/>
  <c r="W69" i="1"/>
  <c r="Y69" i="1" s="1"/>
  <c r="X69" i="1"/>
  <c r="Z69" i="1" s="1"/>
  <c r="P69" i="1"/>
  <c r="S55" i="3" l="1"/>
  <c r="S56" i="3" s="1"/>
  <c r="M84" i="3"/>
  <c r="M85" i="3" s="1"/>
  <c r="M86" i="3" s="1"/>
  <c r="Q58" i="3"/>
  <c r="Q60" i="3" s="1"/>
  <c r="P84" i="3"/>
  <c r="P85" i="3" s="1"/>
  <c r="Q59" i="3"/>
  <c r="N84" i="3"/>
  <c r="N85" i="3" s="1"/>
  <c r="O84" i="3"/>
  <c r="O85" i="3" s="1"/>
  <c r="Q84" i="3"/>
  <c r="Q85" i="3" s="1"/>
  <c r="N81" i="3"/>
  <c r="O81" i="3" s="1"/>
  <c r="P81" i="3" s="1"/>
  <c r="T53" i="3"/>
  <c r="V34" i="3"/>
  <c r="V35" i="3" s="1"/>
  <c r="V48" i="3"/>
  <c r="W33" i="3"/>
  <c r="U50" i="3"/>
  <c r="U52" i="3" s="1"/>
  <c r="U51" i="3"/>
  <c r="O89" i="3"/>
  <c r="O90" i="3" s="1"/>
  <c r="R89" i="3"/>
  <c r="R90" i="3" s="1"/>
  <c r="P89" i="3"/>
  <c r="P90" i="3" s="1"/>
  <c r="M89" i="3"/>
  <c r="M90" i="3" s="1"/>
  <c r="M91" i="3" s="1"/>
  <c r="N89" i="3"/>
  <c r="N90" i="3" s="1"/>
  <c r="Q89" i="3"/>
  <c r="Q90" i="3" s="1"/>
  <c r="R59" i="3"/>
  <c r="R61" i="3" s="1"/>
  <c r="R69" i="1"/>
  <c r="S69" i="1" s="1"/>
  <c r="AA69" i="1"/>
  <c r="AB69" i="1" s="1"/>
  <c r="AC69" i="1" s="1"/>
  <c r="AE69" i="1" s="1"/>
  <c r="Q61" i="3" l="1"/>
  <c r="M94" i="3"/>
  <c r="M95" i="3" s="1"/>
  <c r="M96" i="3" s="1"/>
  <c r="S94" i="3"/>
  <c r="S95" i="3" s="1"/>
  <c r="S57" i="3"/>
  <c r="S59" i="3"/>
  <c r="S58" i="3"/>
  <c r="S60" i="3" s="1"/>
  <c r="O94" i="3"/>
  <c r="O95" i="3" s="1"/>
  <c r="R94" i="3"/>
  <c r="R95" i="3" s="1"/>
  <c r="P94" i="3"/>
  <c r="P95" i="3" s="1"/>
  <c r="T54" i="3"/>
  <c r="T55" i="3"/>
  <c r="N94" i="3"/>
  <c r="N95" i="3" s="1"/>
  <c r="Q94" i="3"/>
  <c r="Q95" i="3" s="1"/>
  <c r="N86" i="3"/>
  <c r="O86" i="3" s="1"/>
  <c r="P86" i="3" s="1"/>
  <c r="Q86" i="3" s="1"/>
  <c r="U53" i="3"/>
  <c r="N91" i="3"/>
  <c r="O91" i="3" s="1"/>
  <c r="P91" i="3" s="1"/>
  <c r="Q91" i="3" s="1"/>
  <c r="R91" i="3" s="1"/>
  <c r="W34" i="3"/>
  <c r="W35" i="3" s="1"/>
  <c r="W48" i="3"/>
  <c r="X33" i="3"/>
  <c r="V51" i="3"/>
  <c r="V50" i="3"/>
  <c r="V52" i="3" s="1"/>
  <c r="K70" i="1"/>
  <c r="U70" i="1"/>
  <c r="N96" i="3" l="1"/>
  <c r="O96" i="3" s="1"/>
  <c r="P96" i="3" s="1"/>
  <c r="Q96" i="3" s="1"/>
  <c r="R96" i="3" s="1"/>
  <c r="S96" i="3" s="1"/>
  <c r="S61" i="3"/>
  <c r="U54" i="3"/>
  <c r="U55" i="3"/>
  <c r="T57" i="3"/>
  <c r="T56" i="3"/>
  <c r="T58" i="3" s="1"/>
  <c r="T60" i="3" s="1"/>
  <c r="V53" i="3"/>
  <c r="X34" i="3"/>
  <c r="X35" i="3" s="1"/>
  <c r="X48" i="3"/>
  <c r="Y33" i="3"/>
  <c r="W51" i="3"/>
  <c r="W50" i="3"/>
  <c r="W52" i="3" s="1"/>
  <c r="T70" i="1"/>
  <c r="L70" i="1"/>
  <c r="V70" i="1"/>
  <c r="AD70" i="1"/>
  <c r="R99" i="3" l="1"/>
  <c r="R100" i="3" s="1"/>
  <c r="O99" i="3"/>
  <c r="O100" i="3" s="1"/>
  <c r="N99" i="3"/>
  <c r="N100" i="3" s="1"/>
  <c r="P99" i="3"/>
  <c r="P100" i="3" s="1"/>
  <c r="Q99" i="3"/>
  <c r="Q100" i="3" s="1"/>
  <c r="T99" i="3"/>
  <c r="T100" i="3" s="1"/>
  <c r="S99" i="3"/>
  <c r="S100" i="3" s="1"/>
  <c r="V54" i="3"/>
  <c r="V55" i="3"/>
  <c r="U56" i="3"/>
  <c r="U58" i="3" s="1"/>
  <c r="U60" i="3" s="1"/>
  <c r="U57" i="3"/>
  <c r="T59" i="3"/>
  <c r="T61" i="3" s="1"/>
  <c r="M99" i="3"/>
  <c r="M100" i="3" s="1"/>
  <c r="M101" i="3" s="1"/>
  <c r="W53" i="3"/>
  <c r="Y34" i="3"/>
  <c r="Y35" i="3" s="1"/>
  <c r="Z33" i="3"/>
  <c r="Y48" i="3"/>
  <c r="X51" i="3"/>
  <c r="X50" i="3"/>
  <c r="X52" i="3" s="1"/>
  <c r="M70" i="1"/>
  <c r="O70" i="1" s="1"/>
  <c r="N70" i="1"/>
  <c r="X70" i="1"/>
  <c r="W70" i="1"/>
  <c r="N101" i="3" l="1"/>
  <c r="O101" i="3" s="1"/>
  <c r="P101" i="3" s="1"/>
  <c r="Q101" i="3" s="1"/>
  <c r="R101" i="3" s="1"/>
  <c r="S101" i="3" s="1"/>
  <c r="T101" i="3" s="1"/>
  <c r="W54" i="3"/>
  <c r="W55" i="3"/>
  <c r="V57" i="3"/>
  <c r="V56" i="3"/>
  <c r="M104" i="3"/>
  <c r="M105" i="3" s="1"/>
  <c r="M106" i="3" s="1"/>
  <c r="T104" i="3"/>
  <c r="T105" i="3" s="1"/>
  <c r="R104" i="3"/>
  <c r="R105" i="3" s="1"/>
  <c r="N104" i="3"/>
  <c r="N105" i="3" s="1"/>
  <c r="O104" i="3"/>
  <c r="O105" i="3" s="1"/>
  <c r="P104" i="3"/>
  <c r="P105" i="3" s="1"/>
  <c r="Q104" i="3"/>
  <c r="Q105" i="3" s="1"/>
  <c r="U59" i="3"/>
  <c r="U61" i="3" s="1"/>
  <c r="U104" i="3"/>
  <c r="U105" i="3" s="1"/>
  <c r="S104" i="3"/>
  <c r="S105" i="3" s="1"/>
  <c r="X53" i="3"/>
  <c r="Y50" i="3"/>
  <c r="Y52" i="3" s="1"/>
  <c r="Y51" i="3"/>
  <c r="Z34" i="3"/>
  <c r="Z35" i="3" s="1"/>
  <c r="Z48" i="3"/>
  <c r="AA70" i="1"/>
  <c r="Z70" i="1"/>
  <c r="Y70" i="1"/>
  <c r="Q70" i="1"/>
  <c r="P70" i="1"/>
  <c r="Y53" i="3" l="1"/>
  <c r="Y54" i="3" s="1"/>
  <c r="N109" i="3"/>
  <c r="N110" i="3" s="1"/>
  <c r="Q109" i="3"/>
  <c r="Q110" i="3" s="1"/>
  <c r="V59" i="3"/>
  <c r="S109" i="3"/>
  <c r="S110" i="3" s="1"/>
  <c r="R109" i="3"/>
  <c r="R110" i="3" s="1"/>
  <c r="T109" i="3"/>
  <c r="T110" i="3" s="1"/>
  <c r="M109" i="3"/>
  <c r="M110" i="3" s="1"/>
  <c r="M111" i="3" s="1"/>
  <c r="U109" i="3"/>
  <c r="U110" i="3" s="1"/>
  <c r="O109" i="3"/>
  <c r="O110" i="3" s="1"/>
  <c r="V109" i="3"/>
  <c r="V110" i="3" s="1"/>
  <c r="P109" i="3"/>
  <c r="P110" i="3" s="1"/>
  <c r="N106" i="3"/>
  <c r="O106" i="3" s="1"/>
  <c r="P106" i="3" s="1"/>
  <c r="Q106" i="3" s="1"/>
  <c r="R106" i="3" s="1"/>
  <c r="S106" i="3" s="1"/>
  <c r="T106" i="3" s="1"/>
  <c r="U106" i="3" s="1"/>
  <c r="V58" i="3"/>
  <c r="V60" i="3" s="1"/>
  <c r="X54" i="3"/>
  <c r="X55" i="3"/>
  <c r="W56" i="3"/>
  <c r="W58" i="3" s="1"/>
  <c r="W60" i="3" s="1"/>
  <c r="W57" i="3"/>
  <c r="Z50" i="3"/>
  <c r="Z52" i="3" s="1"/>
  <c r="Z51" i="3"/>
  <c r="AB70" i="1"/>
  <c r="AC70" i="1" s="1"/>
  <c r="R70" i="1"/>
  <c r="S70" i="1" s="1"/>
  <c r="U71" i="1"/>
  <c r="K71" i="1"/>
  <c r="N111" i="3" l="1"/>
  <c r="Y55" i="3"/>
  <c r="Y56" i="3" s="1"/>
  <c r="Y58" i="3" s="1"/>
  <c r="Y60" i="3" s="1"/>
  <c r="V61" i="3"/>
  <c r="Z53" i="3"/>
  <c r="Z54" i="3" s="1"/>
  <c r="O111" i="3"/>
  <c r="P111" i="3" s="1"/>
  <c r="Q111" i="3" s="1"/>
  <c r="R111" i="3" s="1"/>
  <c r="S111" i="3" s="1"/>
  <c r="T111" i="3" s="1"/>
  <c r="U111" i="3" s="1"/>
  <c r="V111" i="3" s="1"/>
  <c r="M114" i="3"/>
  <c r="M115" i="3" s="1"/>
  <c r="M116" i="3" s="1"/>
  <c r="V114" i="3"/>
  <c r="V115" i="3" s="1"/>
  <c r="P114" i="3"/>
  <c r="P115" i="3" s="1"/>
  <c r="S114" i="3"/>
  <c r="S115" i="3" s="1"/>
  <c r="O114" i="3"/>
  <c r="O115" i="3" s="1"/>
  <c r="T114" i="3"/>
  <c r="T115" i="3" s="1"/>
  <c r="W59" i="3"/>
  <c r="W61" i="3" s="1"/>
  <c r="Q114" i="3"/>
  <c r="Q115" i="3" s="1"/>
  <c r="R114" i="3"/>
  <c r="R115" i="3" s="1"/>
  <c r="N114" i="3"/>
  <c r="N115" i="3" s="1"/>
  <c r="W114" i="3"/>
  <c r="W115" i="3" s="1"/>
  <c r="U114" i="3"/>
  <c r="U115" i="3" s="1"/>
  <c r="X57" i="3"/>
  <c r="X56" i="3"/>
  <c r="X58" i="3" s="1"/>
  <c r="X60" i="3" s="1"/>
  <c r="AE70" i="1"/>
  <c r="T71" i="1"/>
  <c r="L71" i="1"/>
  <c r="AD71" i="1"/>
  <c r="V71" i="1"/>
  <c r="N116" i="3" l="1"/>
  <c r="O116" i="3" s="1"/>
  <c r="P116" i="3" s="1"/>
  <c r="Q116" i="3" s="1"/>
  <c r="R116" i="3" s="1"/>
  <c r="S116" i="3" s="1"/>
  <c r="T116" i="3" s="1"/>
  <c r="U116" i="3" s="1"/>
  <c r="V116" i="3" s="1"/>
  <c r="W116" i="3" s="1"/>
  <c r="Y57" i="3"/>
  <c r="Z55" i="3"/>
  <c r="Z56" i="3" s="1"/>
  <c r="Z58" i="3" s="1"/>
  <c r="Z60" i="3" s="1"/>
  <c r="V119" i="3"/>
  <c r="V120" i="3" s="1"/>
  <c r="P119" i="3"/>
  <c r="P120" i="3" s="1"/>
  <c r="N119" i="3"/>
  <c r="N120" i="3" s="1"/>
  <c r="T119" i="3"/>
  <c r="T120" i="3" s="1"/>
  <c r="W119" i="3"/>
  <c r="W120" i="3" s="1"/>
  <c r="X119" i="3"/>
  <c r="X120" i="3" s="1"/>
  <c r="R119" i="3"/>
  <c r="R120" i="3" s="1"/>
  <c r="X59" i="3"/>
  <c r="X61" i="3" s="1"/>
  <c r="S119" i="3"/>
  <c r="S120" i="3" s="1"/>
  <c r="Q119" i="3"/>
  <c r="Q120" i="3" s="1"/>
  <c r="M119" i="3"/>
  <c r="M120" i="3" s="1"/>
  <c r="M121" i="3" s="1"/>
  <c r="U119" i="3"/>
  <c r="U120" i="3" s="1"/>
  <c r="O119" i="3"/>
  <c r="O120" i="3" s="1"/>
  <c r="Y124" i="3"/>
  <c r="Y125" i="3" s="1"/>
  <c r="O124" i="3"/>
  <c r="O125" i="3" s="1"/>
  <c r="S124" i="3"/>
  <c r="S125" i="3" s="1"/>
  <c r="Q124" i="3"/>
  <c r="Q125" i="3" s="1"/>
  <c r="T124" i="3"/>
  <c r="T125" i="3" s="1"/>
  <c r="W124" i="3"/>
  <c r="W125" i="3" s="1"/>
  <c r="R124" i="3"/>
  <c r="R125" i="3" s="1"/>
  <c r="N124" i="3"/>
  <c r="N125" i="3" s="1"/>
  <c r="X124" i="3"/>
  <c r="X125" i="3" s="1"/>
  <c r="V124" i="3"/>
  <c r="V125" i="3" s="1"/>
  <c r="P124" i="3"/>
  <c r="P125" i="3" s="1"/>
  <c r="U124" i="3"/>
  <c r="U125" i="3" s="1"/>
  <c r="M124" i="3"/>
  <c r="M125" i="3" s="1"/>
  <c r="M126" i="3" s="1"/>
  <c r="Y59" i="3"/>
  <c r="Y61" i="3" s="1"/>
  <c r="W71" i="1"/>
  <c r="X71" i="1"/>
  <c r="N71" i="1"/>
  <c r="M71" i="1"/>
  <c r="N121" i="3" l="1"/>
  <c r="O121" i="3" s="1"/>
  <c r="P121" i="3" s="1"/>
  <c r="Q121" i="3" s="1"/>
  <c r="R121" i="3" s="1"/>
  <c r="S121" i="3" s="1"/>
  <c r="T121" i="3" s="1"/>
  <c r="U121" i="3" s="1"/>
  <c r="V121" i="3" s="1"/>
  <c r="W121" i="3" s="1"/>
  <c r="X121" i="3" s="1"/>
  <c r="Z57" i="3"/>
  <c r="N126" i="3"/>
  <c r="O126" i="3" s="1"/>
  <c r="P126" i="3" s="1"/>
  <c r="Q126" i="3" s="1"/>
  <c r="R126" i="3" s="1"/>
  <c r="S126" i="3" s="1"/>
  <c r="T126" i="3" s="1"/>
  <c r="U126" i="3" s="1"/>
  <c r="V126" i="3" s="1"/>
  <c r="W126" i="3" s="1"/>
  <c r="X126" i="3" s="1"/>
  <c r="Y126" i="3" s="1"/>
  <c r="Q129" i="3"/>
  <c r="Q130" i="3" s="1"/>
  <c r="N129" i="3"/>
  <c r="N130" i="3" s="1"/>
  <c r="T129" i="3"/>
  <c r="T130" i="3" s="1"/>
  <c r="V129" i="3"/>
  <c r="V130" i="3" s="1"/>
  <c r="O129" i="3"/>
  <c r="O130" i="3" s="1"/>
  <c r="W129" i="3"/>
  <c r="W130" i="3" s="1"/>
  <c r="U129" i="3"/>
  <c r="U130" i="3" s="1"/>
  <c r="X129" i="3"/>
  <c r="X130" i="3" s="1"/>
  <c r="P129" i="3"/>
  <c r="P130" i="3" s="1"/>
  <c r="M129" i="3"/>
  <c r="M130" i="3" s="1"/>
  <c r="M131" i="3" s="1"/>
  <c r="S129" i="3"/>
  <c r="S130" i="3" s="1"/>
  <c r="R129" i="3"/>
  <c r="R130" i="3" s="1"/>
  <c r="Z129" i="3"/>
  <c r="Z130" i="3" s="1"/>
  <c r="Y129" i="3"/>
  <c r="Y130" i="3" s="1"/>
  <c r="Z59" i="3"/>
  <c r="Z61" i="3" s="1"/>
  <c r="Q71" i="1"/>
  <c r="AA71" i="1"/>
  <c r="P71" i="1"/>
  <c r="O71" i="1"/>
  <c r="Y71" i="1"/>
  <c r="Z71" i="1"/>
  <c r="N131" i="3" l="1"/>
  <c r="O131" i="3" s="1"/>
  <c r="P131" i="3" s="1"/>
  <c r="Q131" i="3" s="1"/>
  <c r="R131" i="3" s="1"/>
  <c r="S131" i="3" s="1"/>
  <c r="T131" i="3" s="1"/>
  <c r="U131" i="3" s="1"/>
  <c r="V131" i="3" s="1"/>
  <c r="W131" i="3" s="1"/>
  <c r="X131" i="3" s="1"/>
  <c r="Y131" i="3" s="1"/>
  <c r="Z131" i="3" s="1"/>
  <c r="R71" i="1"/>
  <c r="S71" i="1" s="1"/>
  <c r="AB71" i="1"/>
  <c r="AC71" i="1" s="1"/>
  <c r="U72" i="1"/>
  <c r="V72" i="1" s="1"/>
  <c r="K72" i="1"/>
  <c r="T72" i="1" s="1"/>
  <c r="AE71" i="1" l="1"/>
  <c r="W72" i="1"/>
  <c r="Y72" i="1" s="1"/>
  <c r="X72" i="1"/>
  <c r="AD72" i="1"/>
  <c r="L72" i="1"/>
  <c r="Z72" i="1" l="1"/>
  <c r="N72" i="1"/>
  <c r="M72" i="1"/>
  <c r="AA72" i="1"/>
  <c r="AB72" i="1" l="1"/>
  <c r="AC72" i="1" s="1"/>
  <c r="Q72" i="1"/>
  <c r="P72" i="1"/>
  <c r="O72" i="1"/>
  <c r="K74" i="1"/>
  <c r="P81" i="1" s="1"/>
  <c r="P84" i="1" s="1"/>
  <c r="R72" i="1" l="1"/>
  <c r="S72" i="1" s="1"/>
  <c r="AE72" i="1" s="1"/>
  <c r="T81" i="1"/>
  <c r="T84" i="1" s="1"/>
  <c r="X81" i="1"/>
  <c r="X84" i="1" s="1"/>
  <c r="U81" i="1"/>
  <c r="U84" i="1" s="1"/>
  <c r="O81" i="1"/>
  <c r="O84" i="1" s="1"/>
  <c r="W81" i="1"/>
  <c r="W84" i="1" s="1"/>
  <c r="S81" i="1"/>
  <c r="S84" i="1" s="1"/>
  <c r="Y81" i="1"/>
  <c r="Y84" i="1" s="1"/>
  <c r="L81" i="1"/>
  <c r="L84" i="1" s="1"/>
  <c r="Q81" i="1"/>
  <c r="Q84" i="1" s="1"/>
  <c r="K81" i="1"/>
  <c r="K84" i="1" s="1"/>
  <c r="V81" i="1"/>
  <c r="V84" i="1" s="1"/>
  <c r="R81" i="1"/>
  <c r="R84" i="1" s="1"/>
  <c r="N81" i="1"/>
  <c r="N84" i="1" s="1"/>
  <c r="M81" i="1"/>
  <c r="M84" i="1" s="1"/>
  <c r="H30" i="3"/>
  <c r="L39" i="3" s="1"/>
  <c r="G30" i="3"/>
  <c r="L38" i="3" l="1"/>
  <c r="L40" i="3" s="1"/>
  <c r="L44" i="3"/>
  <c r="P38" i="3"/>
  <c r="K38" i="3"/>
  <c r="U38" i="3"/>
  <c r="O38" i="3"/>
  <c r="T38" i="3"/>
  <c r="R38" i="3"/>
  <c r="Y38" i="3"/>
  <c r="W38" i="3"/>
  <c r="Z38" i="3"/>
  <c r="M38" i="3"/>
  <c r="V38" i="3"/>
  <c r="X38" i="3"/>
  <c r="Q38" i="3"/>
  <c r="S38" i="3"/>
  <c r="N38" i="3"/>
  <c r="Y39" i="3"/>
  <c r="Z44" i="3"/>
  <c r="S39" i="3"/>
  <c r="Q44" i="3"/>
  <c r="R39" i="3"/>
  <c r="W39" i="3"/>
  <c r="M39" i="3"/>
  <c r="O44" i="3"/>
  <c r="N44" i="3"/>
  <c r="K44" i="3"/>
  <c r="O39" i="3"/>
  <c r="P44" i="3"/>
  <c r="V44" i="3"/>
  <c r="Q39" i="3"/>
  <c r="V39" i="3"/>
  <c r="X44" i="3"/>
  <c r="R44" i="3"/>
  <c r="U39" i="3"/>
  <c r="Y40" i="3"/>
  <c r="S44" i="3"/>
  <c r="Z39" i="3"/>
  <c r="M44" i="3"/>
  <c r="P39" i="3"/>
  <c r="N39" i="3"/>
  <c r="K39" i="3"/>
  <c r="W44" i="3"/>
  <c r="T44" i="3"/>
  <c r="Y44" i="3"/>
  <c r="T39" i="3"/>
  <c r="U44" i="3"/>
  <c r="X39" i="3"/>
  <c r="W40" i="3" l="1"/>
  <c r="V40" i="3"/>
  <c r="T40" i="3"/>
  <c r="Z40" i="3"/>
  <c r="X40" i="3"/>
  <c r="Q40" i="3"/>
  <c r="O40" i="3"/>
  <c r="P40" i="3"/>
  <c r="S40" i="3"/>
  <c r="R40" i="3"/>
  <c r="N40" i="3"/>
  <c r="U40" i="3"/>
  <c r="K40" i="3"/>
  <c r="M40" i="3"/>
  <c r="F30" i="4"/>
  <c r="W37" i="4" s="1"/>
  <c r="AI30" i="4"/>
  <c r="M30" i="4" s="1"/>
  <c r="K35" i="4" l="1"/>
  <c r="K39" i="4" s="1"/>
  <c r="W35" i="4"/>
  <c r="W39" i="4" s="1"/>
  <c r="T35" i="4"/>
  <c r="T39" i="4" s="1"/>
  <c r="O35" i="4"/>
  <c r="O39" i="4" s="1"/>
  <c r="V35" i="4"/>
  <c r="V39" i="4" s="1"/>
  <c r="N35" i="4"/>
  <c r="N39" i="4" s="1"/>
  <c r="L35" i="4"/>
  <c r="L39" i="4" s="1"/>
  <c r="P35" i="4"/>
  <c r="P39" i="4" s="1"/>
  <c r="R35" i="4"/>
  <c r="R39" i="4" s="1"/>
  <c r="M35" i="4"/>
  <c r="M39" i="4" s="1"/>
  <c r="X35" i="4"/>
  <c r="X39" i="4" s="1"/>
  <c r="Y35" i="4"/>
  <c r="Y39" i="4" s="1"/>
  <c r="Q35" i="4"/>
  <c r="Q39" i="4" s="1"/>
  <c r="U35" i="4"/>
  <c r="U39" i="4" s="1"/>
  <c r="S35" i="4"/>
  <c r="S39" i="4" s="1"/>
  <c r="W40" i="4"/>
  <c r="V37" i="4"/>
  <c r="P37" i="4"/>
  <c r="U37" i="4"/>
  <c r="U40" i="4" s="1"/>
  <c r="L37" i="4"/>
  <c r="X37" i="4"/>
  <c r="U44" i="4"/>
  <c r="X44" i="4"/>
  <c r="M37" i="4"/>
  <c r="M40" i="4" s="1"/>
  <c r="S37" i="4"/>
  <c r="M44" i="4"/>
  <c r="T37" i="4"/>
  <c r="O44" i="4"/>
  <c r="Q37" i="4"/>
  <c r="V44" i="4"/>
  <c r="Y44" i="4"/>
  <c r="O37" i="4"/>
  <c r="O40" i="4" s="1"/>
  <c r="Y37" i="4"/>
  <c r="R44" i="4"/>
  <c r="K44" i="4"/>
  <c r="W44" i="4"/>
  <c r="S44" i="4"/>
  <c r="P44" i="4"/>
  <c r="L44" i="4"/>
  <c r="N37" i="4"/>
  <c r="K37" i="4"/>
  <c r="T44" i="4"/>
  <c r="R37" i="4"/>
  <c r="Q44" i="4"/>
  <c r="N44" i="4"/>
  <c r="T40" i="4" l="1"/>
  <c r="L40" i="4"/>
  <c r="Q40" i="4"/>
  <c r="K40" i="4"/>
  <c r="V40" i="4"/>
  <c r="Y40" i="4"/>
  <c r="P40" i="4"/>
  <c r="X40" i="4"/>
  <c r="R40" i="4"/>
  <c r="N40" i="4"/>
  <c r="S40" i="4"/>
  <c r="E45" i="3"/>
  <c r="E46" i="3" l="1"/>
  <c r="M56" i="3" s="1"/>
  <c r="M57" i="3"/>
  <c r="M64" i="3" l="1"/>
  <c r="M65" i="3" s="1"/>
  <c r="M66" i="3" s="1"/>
  <c r="M58" i="3"/>
  <c r="M60" i="3" s="1"/>
  <c r="M59" i="3"/>
  <c r="M61" i="3" l="1"/>
  <c r="V30" i="5"/>
  <c r="M30" i="5" s="1"/>
  <c r="U30" i="5"/>
  <c r="L30" i="5" s="1"/>
  <c r="E30" i="5"/>
  <c r="Q44" i="5" s="1"/>
  <c r="AG30" i="5"/>
  <c r="K30" i="5" s="1"/>
  <c r="U37" i="5" l="1"/>
  <c r="Q37" i="5"/>
  <c r="P37" i="5"/>
  <c r="L37" i="5"/>
  <c r="Z37" i="5"/>
  <c r="Y37" i="5"/>
  <c r="T37" i="5"/>
  <c r="R37" i="5"/>
  <c r="M37" i="5"/>
  <c r="X37" i="5"/>
  <c r="W37" i="5"/>
  <c r="V37" i="5"/>
  <c r="O37" i="5"/>
  <c r="K37" i="5"/>
  <c r="S37" i="5"/>
  <c r="N37" i="5"/>
  <c r="N38" i="5"/>
  <c r="S38" i="5"/>
  <c r="U38" i="5"/>
  <c r="Q38" i="5"/>
  <c r="P38" i="5"/>
  <c r="L38" i="5"/>
  <c r="Z38" i="5"/>
  <c r="Y38" i="5"/>
  <c r="T38" i="5"/>
  <c r="M38" i="5"/>
  <c r="W38" i="5"/>
  <c r="R38" i="5"/>
  <c r="X38" i="5"/>
  <c r="O38" i="5"/>
  <c r="V38" i="5"/>
  <c r="K38" i="5"/>
  <c r="N35" i="5"/>
  <c r="N39" i="5" s="1"/>
  <c r="S35" i="5"/>
  <c r="S39" i="5" s="1"/>
  <c r="U35" i="5"/>
  <c r="U39" i="5" s="1"/>
  <c r="O35" i="5"/>
  <c r="O39" i="5" s="1"/>
  <c r="K35" i="5"/>
  <c r="K39" i="5" s="1"/>
  <c r="Q35" i="5"/>
  <c r="Q39" i="5" s="1"/>
  <c r="P35" i="5"/>
  <c r="P39" i="5" s="1"/>
  <c r="L35" i="5"/>
  <c r="L39" i="5" s="1"/>
  <c r="Z35" i="5"/>
  <c r="Z39" i="5" s="1"/>
  <c r="Y35" i="5"/>
  <c r="Y39" i="5" s="1"/>
  <c r="X35" i="5"/>
  <c r="X39" i="5" s="1"/>
  <c r="V35" i="5"/>
  <c r="V39" i="5" s="1"/>
  <c r="R35" i="5"/>
  <c r="R39" i="5" s="1"/>
  <c r="W35" i="5"/>
  <c r="W39" i="5" s="1"/>
  <c r="T35" i="5"/>
  <c r="T39" i="5" s="1"/>
  <c r="M35" i="5"/>
  <c r="M39" i="5" s="1"/>
  <c r="S36" i="5"/>
  <c r="K36" i="5"/>
  <c r="N36" i="5"/>
  <c r="M36" i="5"/>
  <c r="L44" i="5"/>
  <c r="W44" i="5"/>
  <c r="X44" i="5"/>
  <c r="Y44" i="5"/>
  <c r="O36" i="5"/>
  <c r="R44" i="5"/>
  <c r="K44" i="5"/>
  <c r="X36" i="5"/>
  <c r="X40" i="5" s="1"/>
  <c r="U44" i="5"/>
  <c r="V36" i="5"/>
  <c r="S44" i="5"/>
  <c r="O44" i="5"/>
  <c r="Z44" i="5"/>
  <c r="V44" i="5"/>
  <c r="M44" i="5"/>
  <c r="U36" i="5"/>
  <c r="Q36" i="5"/>
  <c r="Q40" i="5" s="1"/>
  <c r="T36" i="5"/>
  <c r="R36" i="5"/>
  <c r="R40" i="5" s="1"/>
  <c r="N44" i="5"/>
  <c r="T44" i="5"/>
  <c r="W36" i="5"/>
  <c r="Y36" i="5"/>
  <c r="Z36" i="5"/>
  <c r="L36" i="5"/>
  <c r="P36" i="5"/>
  <c r="P44" i="5"/>
  <c r="O40" i="5" l="1"/>
  <c r="T40" i="5"/>
  <c r="U40" i="5"/>
  <c r="Y40" i="5"/>
  <c r="P40" i="5"/>
  <c r="N40" i="5"/>
  <c r="W40" i="5"/>
  <c r="K40" i="5"/>
  <c r="L40" i="5"/>
  <c r="Z40" i="5"/>
  <c r="M40" i="5"/>
  <c r="V40" i="5"/>
  <c r="S40" i="5"/>
</calcChain>
</file>

<file path=xl/sharedStrings.xml><?xml version="1.0" encoding="utf-8"?>
<sst xmlns="http://schemas.openxmlformats.org/spreadsheetml/2006/main" count="1019" uniqueCount="181">
  <si>
    <t>Dane Wejściowe</t>
  </si>
  <si>
    <t>Projektowany Dopływ ścieków</t>
  </si>
  <si>
    <t>Qhmax</t>
  </si>
  <si>
    <t>Rzędna terenu</t>
  </si>
  <si>
    <t>m n.p.m.</t>
  </si>
  <si>
    <t>Rzędna dopływu ścieków</t>
  </si>
  <si>
    <t>Rzędna osi końca przewodu tłocznego</t>
  </si>
  <si>
    <t>Rzędna najwyższego punktu trasy</t>
  </si>
  <si>
    <t>Minimalny czas trwania cyklu pompy</t>
  </si>
  <si>
    <t>min</t>
  </si>
  <si>
    <t>s</t>
  </si>
  <si>
    <t>Legenda</t>
  </si>
  <si>
    <t>Rl</t>
  </si>
  <si>
    <t>Rk</t>
  </si>
  <si>
    <t>Rw</t>
  </si>
  <si>
    <t>Rt</t>
  </si>
  <si>
    <t>T</t>
  </si>
  <si>
    <t>Długość przewody tłocznego</t>
  </si>
  <si>
    <t>L</t>
  </si>
  <si>
    <t>m</t>
  </si>
  <si>
    <t>Wspołczynnik bezpieczeństwa</t>
  </si>
  <si>
    <t>-</t>
  </si>
  <si>
    <t>k</t>
  </si>
  <si>
    <t>=</t>
  </si>
  <si>
    <t>Przepływ obliczeniowy</t>
  </si>
  <si>
    <t>Qp</t>
  </si>
  <si>
    <t>l/s</t>
  </si>
  <si>
    <t>Przyjmuje się jako wydajność pompowni</t>
  </si>
  <si>
    <t>Awaryjna wysokość ścieków w zbiorniku</t>
  </si>
  <si>
    <t>h3</t>
  </si>
  <si>
    <t>Wysokość retencyjna w zbionriku</t>
  </si>
  <si>
    <t>h2</t>
  </si>
  <si>
    <t>Hg</t>
  </si>
  <si>
    <t>Rzędna zwierciadła ścieków</t>
  </si>
  <si>
    <t>Hzw</t>
  </si>
  <si>
    <t>Geometryczna wysokość podnoszenia ścieków</t>
  </si>
  <si>
    <t>Obliczenia wstępne</t>
  </si>
  <si>
    <t>wypełnić</t>
  </si>
  <si>
    <t>zweryfikować</t>
  </si>
  <si>
    <r>
      <t>m</t>
    </r>
    <r>
      <rPr>
        <sz val="11"/>
        <color theme="1"/>
        <rFont val="Calibri"/>
        <family val="2"/>
        <charset val="238"/>
      </rPr>
      <t>³</t>
    </r>
    <r>
      <rPr>
        <sz val="11"/>
        <color theme="1"/>
        <rFont val="Calibri"/>
        <family val="2"/>
        <charset val="238"/>
        <scheme val="minor"/>
      </rPr>
      <t>/h</t>
    </r>
  </si>
  <si>
    <t>m³/h</t>
  </si>
  <si>
    <t>Stała</t>
  </si>
  <si>
    <t>Dana wejściowa</t>
  </si>
  <si>
    <t>Obliczenie</t>
  </si>
  <si>
    <t>Dobór z żródeł zewn. (katalog, nomogram)</t>
  </si>
  <si>
    <t>Dobór średnic</t>
  </si>
  <si>
    <t>Zakres prędkości</t>
  </si>
  <si>
    <t>v</t>
  </si>
  <si>
    <t>:</t>
  </si>
  <si>
    <t>m/s</t>
  </si>
  <si>
    <t>Średnica przewodu</t>
  </si>
  <si>
    <t>Ø</t>
  </si>
  <si>
    <t>mm</t>
  </si>
  <si>
    <t>Straty liniowe</t>
  </si>
  <si>
    <t>i</t>
  </si>
  <si>
    <t>Wsp. strat liniowych</t>
  </si>
  <si>
    <t>Δh</t>
  </si>
  <si>
    <t>Prędkość przepływu</t>
  </si>
  <si>
    <t>Suma współczynników strat miejscowych</t>
  </si>
  <si>
    <t>ζ</t>
  </si>
  <si>
    <t>Straty miejscowe</t>
  </si>
  <si>
    <t>Suma strat na przewodzie</t>
  </si>
  <si>
    <t>Przewód wewnętrzny</t>
  </si>
  <si>
    <t>Przewód zewnętrzny</t>
  </si>
  <si>
    <t>‰</t>
  </si>
  <si>
    <t>Rd</t>
  </si>
  <si>
    <t>Założona długość przewodu wewnętrznego</t>
  </si>
  <si>
    <t>Suma strat na hydraulicznych</t>
  </si>
  <si>
    <t>Σh</t>
  </si>
  <si>
    <t>H</t>
  </si>
  <si>
    <t>Zestaw pompowy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</si>
  <si>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</si>
  <si>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</si>
  <si>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</si>
  <si>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</si>
  <si>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</si>
  <si>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</si>
  <si>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</si>
  <si>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</si>
  <si>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</si>
  <si>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</si>
  <si>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</si>
  <si>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</si>
  <si>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</si>
  <si>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</si>
  <si>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</si>
  <si>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Sprawdzenie</t>
  </si>
  <si>
    <t>Objętość czynna</t>
  </si>
  <si>
    <t>Pole przekroju studni</t>
  </si>
  <si>
    <t>A</t>
  </si>
  <si>
    <r>
      <t>m</t>
    </r>
    <r>
      <rPr>
        <sz val="11"/>
        <color theme="1"/>
        <rFont val="Calibri"/>
        <family val="2"/>
        <charset val="238"/>
      </rPr>
      <t>²</t>
    </r>
  </si>
  <si>
    <t>Vcz</t>
  </si>
  <si>
    <r>
      <t>m</t>
    </r>
    <r>
      <rPr>
        <sz val="11"/>
        <color theme="1"/>
        <rFont val="Calibri"/>
        <family val="2"/>
        <charset val="238"/>
      </rPr>
      <t>³</t>
    </r>
  </si>
  <si>
    <t>Wysokość czynna</t>
  </si>
  <si>
    <t>hcz</t>
  </si>
  <si>
    <t>Założona rzędna wyłączenia pompy</t>
  </si>
  <si>
    <t>Wysokość martwa</t>
  </si>
  <si>
    <t>hm</t>
  </si>
  <si>
    <t>Założona rzedna dna</t>
  </si>
  <si>
    <t>Najpierw była 1 m, w późniejszych oblicze. pominięto</t>
  </si>
  <si>
    <t>Obliczenia punktów pracy:</t>
  </si>
  <si>
    <t>Sprawdzana rzędna [m n.p.m.]:</t>
  </si>
  <si>
    <t>Krok sprawdzanej rzędnej</t>
  </si>
  <si>
    <t>Geometryczna wysokość podnoszenia [m]:</t>
  </si>
  <si>
    <t>Wspołczynniki wielomianu charakterystyki pompy</t>
  </si>
  <si>
    <t>wzór: y = c3 * x^3 + c2 * x^2 + c1 * x + b</t>
  </si>
  <si>
    <t>Zestaw przewodów</t>
  </si>
  <si>
    <t>hlin [m]</t>
  </si>
  <si>
    <t>v [m/s]</t>
  </si>
  <si>
    <t>c0 wielomianu przewodów</t>
  </si>
  <si>
    <t>c3 różnicy wielomianów</t>
  </si>
  <si>
    <t>c2 różnicy wielomianów</t>
  </si>
  <si>
    <t>c1 różnicy wielomianów</t>
  </si>
  <si>
    <t>c0 różnicy wielomianów</t>
  </si>
  <si>
    <t>Wartość wielomianu w Q = 0</t>
  </si>
  <si>
    <t>H punktu pracy</t>
  </si>
  <si>
    <t>Objętość iteracyjna [m³]</t>
  </si>
  <si>
    <t>Średnia wydajność na obj. it. [m³/s]</t>
  </si>
  <si>
    <t>Czas wypompowywania przy brak dopływu [s]</t>
  </si>
  <si>
    <t>Suma czasów [s]</t>
  </si>
  <si>
    <t>Suma objętości [m³]</t>
  </si>
  <si>
    <t>Rzeczywista wydajność pompy [m³/h]</t>
  </si>
  <si>
    <t>Makro</t>
  </si>
  <si>
    <t>uruchomić</t>
  </si>
  <si>
    <t>Dopływ najmniej korzystny [m³/h]</t>
  </si>
  <si>
    <t>Wydajność pompowania z dopływem [m³/h]</t>
  </si>
  <si>
    <t>Czas cyklu [s]</t>
  </si>
  <si>
    <t>Czas postoju pompy (czas napełniania) [s]</t>
  </si>
  <si>
    <t>Czas pracy pompy (czas opróżniania) [s]</t>
  </si>
  <si>
    <t>Średnia wydajność na obj. it. [m³/h]</t>
  </si>
  <si>
    <t>Suma czasów pracy</t>
  </si>
  <si>
    <t>Q punktu pracy [m³/s]</t>
  </si>
  <si>
    <t>[l/s]</t>
  </si>
  <si>
    <t>[m³/h]</t>
  </si>
  <si>
    <t>Q [m³/s]</t>
  </si>
  <si>
    <t>Q [m³/h]</t>
  </si>
  <si>
    <t>Q [l/s]</t>
  </si>
  <si>
    <r>
      <t>m</t>
    </r>
    <r>
      <rPr>
        <sz val="11"/>
        <color theme="1"/>
        <rFont val="Calibri"/>
        <family val="2"/>
        <charset val="238"/>
      </rPr>
      <t>²/s</t>
    </r>
  </si>
  <si>
    <t>kinematic viscosity</t>
  </si>
  <si>
    <t>Re [-]</t>
  </si>
  <si>
    <t>a</t>
  </si>
  <si>
    <t>b</t>
  </si>
  <si>
    <t>chropowatość przewodu</t>
  </si>
  <si>
    <t>B</t>
  </si>
  <si>
    <t>C</t>
  </si>
  <si>
    <t>Lambda</t>
  </si>
  <si>
    <t>hmsc</t>
  </si>
  <si>
    <t>Straty [m]</t>
  </si>
  <si>
    <t>x2</t>
  </si>
  <si>
    <t>c</t>
  </si>
  <si>
    <t>x</t>
  </si>
  <si>
    <t>x3</t>
  </si>
  <si>
    <t>Dopływ najmniej korzystny [l/s]</t>
  </si>
  <si>
    <t>,</t>
  </si>
  <si>
    <t>Prędkość w przewodzie wewn [m/s]</t>
  </si>
  <si>
    <t>Prędkość w przewodzie zewn [m/s]</t>
  </si>
  <si>
    <t>l. pomp</t>
  </si>
  <si>
    <t>Q 1 p [m³/s]</t>
  </si>
  <si>
    <t>przewodów równoloegłych:</t>
  </si>
  <si>
    <t>Q w 1 przew.</t>
  </si>
  <si>
    <t>h inspipe</t>
  </si>
  <si>
    <t>Średnica studni</t>
  </si>
  <si>
    <t>D</t>
  </si>
  <si>
    <t>Suma strat plus rz. Wył</t>
  </si>
  <si>
    <t>Q włączenia</t>
  </si>
  <si>
    <t>Qwł</t>
  </si>
  <si>
    <t>Obl. Czas cyklu</t>
  </si>
  <si>
    <t>m³/s</t>
  </si>
  <si>
    <t>Dopływ minimalny</t>
  </si>
  <si>
    <t>Dopływ maksymalny</t>
  </si>
  <si>
    <t>Qmin</t>
  </si>
  <si>
    <t>Qmax</t>
  </si>
  <si>
    <t>Iteracja znaleziona</t>
  </si>
  <si>
    <t>nr</t>
  </si>
  <si>
    <t>Rzędna włączenia</t>
  </si>
  <si>
    <t>Rwł</t>
  </si>
  <si>
    <t>Rzeczywista wydajność pompy [m³/s]</t>
  </si>
  <si>
    <t>Dopływ najmniej korzystny [m³/s]</t>
  </si>
  <si>
    <t>Minimalny dopływ</t>
  </si>
  <si>
    <t xml:space="preserve">Qmin </t>
  </si>
  <si>
    <t>Maksymalny dopływ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</si>
</sst>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"/>
    <numFmt numFmtId="165" formatCode="0.000"/>
    <numFmt numFmtId="166" formatCode="0.0000"/>
    <numFmt numFmtId="167" formatCode="0.0000000000"/>
    <numFmt numFmtId="168" formatCode="_-* #,##0.000000000_-;\-* #,##0.000000000_-;_-* &quot;-&quot;??_-;_-@_-"/>
  </numFmts>
  <fonts count="12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1"/>
      <color theme="1"/>
      <name val="Calibri"/>
      <family val="2"/>
      <charset val="238"/>
    </font>
    <font>
      <sz val="8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u/>
      <sz val="14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4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/>
    <xf numFmtId="2" fontId="0" fillId="4" borderId="0" xfId="0" applyNumberFormat="1" applyFill="1"/>
    <xf numFmtId="2" fontId="0" fillId="2" borderId="0" xfId="0" applyNumberFormat="1" applyFill="1" applyAlignment="1"/>
    <xf numFmtId="2" fontId="0" fillId="0" borderId="0" xfId="0" applyNumberFormat="1" applyAlignment="1"/>
    <xf numFmtId="2" fontId="0" fillId="3" borderId="0" xfId="0" applyNumberFormat="1" applyFill="1" applyAlignment="1"/>
    <xf numFmtId="2" fontId="0" fillId="4" borderId="0" xfId="0" applyNumberFormat="1" applyFill="1" applyAlignment="1"/>
    <xf numFmtId="164" fontId="0" fillId="3" borderId="0" xfId="0" applyNumberFormat="1" applyFill="1" applyAlignment="1"/>
    <xf numFmtId="1" fontId="0" fillId="4" borderId="0" xfId="0" applyNumberFormat="1" applyFill="1"/>
    <xf numFmtId="2" fontId="0" fillId="0" borderId="0" xfId="0" applyNumberFormat="1" applyFill="1"/>
    <xf numFmtId="164" fontId="0" fillId="2" borderId="0" xfId="0" applyNumberFormat="1" applyFill="1" applyAlignment="1"/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left"/>
    </xf>
    <xf numFmtId="0" fontId="5" fillId="0" borderId="0" xfId="0" applyFont="1" applyAlignment="1">
      <alignment horizontal="right"/>
    </xf>
    <xf numFmtId="1" fontId="0" fillId="5" borderId="0" xfId="0" applyNumberFormat="1" applyFill="1" applyAlignment="1"/>
    <xf numFmtId="2" fontId="0" fillId="5" borderId="0" xfId="0" applyNumberFormat="1" applyFill="1" applyAlignment="1"/>
    <xf numFmtId="0" fontId="5" fillId="0" borderId="0" xfId="0" applyFont="1"/>
    <xf numFmtId="164" fontId="0" fillId="5" borderId="0" xfId="1" applyNumberFormat="1" applyFont="1" applyFill="1" applyAlignment="1"/>
    <xf numFmtId="164" fontId="0" fillId="0" borderId="0" xfId="0" applyNumberFormat="1" applyFill="1" applyAlignment="1">
      <alignment horizontal="left"/>
    </xf>
    <xf numFmtId="2" fontId="2" fillId="4" borderId="0" xfId="0" applyNumberFormat="1" applyFont="1" applyFill="1" applyAlignment="1"/>
    <xf numFmtId="0" fontId="2" fillId="0" borderId="0" xfId="0" applyFont="1"/>
    <xf numFmtId="0" fontId="6" fillId="0" borderId="0" xfId="0" applyFont="1" applyAlignment="1">
      <alignment horizontal="right"/>
    </xf>
    <xf numFmtId="164" fontId="0" fillId="5" borderId="0" xfId="0" applyNumberFormat="1" applyFill="1" applyAlignment="1"/>
    <xf numFmtId="2" fontId="0" fillId="6" borderId="0" xfId="0" applyNumberFormat="1" applyFill="1" applyAlignment="1"/>
    <xf numFmtId="0" fontId="8" fillId="0" borderId="0" xfId="0" applyFont="1"/>
    <xf numFmtId="2" fontId="0" fillId="0" borderId="0" xfId="0" applyNumberFormat="1"/>
    <xf numFmtId="2" fontId="0" fillId="0" borderId="0" xfId="0" applyNumberFormat="1" applyAlignment="1">
      <alignment horizontal="right"/>
    </xf>
    <xf numFmtId="164" fontId="0" fillId="5" borderId="0" xfId="0" applyNumberFormat="1" applyFill="1"/>
    <xf numFmtId="165" fontId="0" fillId="4" borderId="0" xfId="0" applyNumberFormat="1" applyFill="1"/>
    <xf numFmtId="165" fontId="0" fillId="4" borderId="0" xfId="0" applyNumberFormat="1" applyFill="1" applyAlignment="1"/>
    <xf numFmtId="0" fontId="4" fillId="0" borderId="0" xfId="0" applyFont="1" applyAlignment="1">
      <alignment horizontal="right"/>
    </xf>
    <xf numFmtId="2" fontId="0" fillId="7" borderId="0" xfId="0" applyNumberFormat="1" applyFill="1" applyAlignment="1"/>
    <xf numFmtId="2" fontId="0" fillId="0" borderId="0" xfId="0" applyNumberFormat="1" applyFill="1" applyAlignment="1"/>
    <xf numFmtId="166" fontId="0" fillId="4" borderId="0" xfId="0" applyNumberFormat="1" applyFill="1"/>
    <xf numFmtId="1" fontId="0" fillId="0" borderId="0" xfId="0" applyNumberFormat="1"/>
    <xf numFmtId="2" fontId="10" fillId="4" borderId="0" xfId="0" applyNumberFormat="1" applyFont="1" applyFill="1"/>
    <xf numFmtId="2" fontId="11" fillId="4" borderId="0" xfId="0" applyNumberFormat="1" applyFont="1" applyFill="1"/>
    <xf numFmtId="166" fontId="0" fillId="7" borderId="0" xfId="0" applyNumberFormat="1" applyFill="1" applyAlignment="1">
      <alignment horizontal="right"/>
    </xf>
    <xf numFmtId="164" fontId="0" fillId="0" borderId="0" xfId="0" applyNumberFormat="1" applyFill="1" applyAlignment="1"/>
    <xf numFmtId="167" fontId="0" fillId="3" borderId="0" xfId="0" applyNumberFormat="1" applyFill="1" applyAlignment="1"/>
    <xf numFmtId="166" fontId="0" fillId="5" borderId="0" xfId="0" applyNumberFormat="1" applyFill="1" applyAlignment="1"/>
    <xf numFmtId="166" fontId="0" fillId="4" borderId="0" xfId="0" applyNumberFormat="1" applyFill="1" applyAlignment="1"/>
    <xf numFmtId="2" fontId="0" fillId="4" borderId="0" xfId="0" applyNumberFormat="1" applyFill="1" applyAlignment="1">
      <alignment horizontal="right"/>
    </xf>
    <xf numFmtId="2" fontId="0" fillId="5" borderId="0" xfId="0" applyNumberFormat="1" applyFill="1"/>
    <xf numFmtId="164" fontId="0" fillId="4" borderId="0" xfId="0" applyNumberFormat="1" applyFill="1" applyAlignment="1"/>
    <xf numFmtId="0" fontId="0" fillId="4" borderId="0" xfId="0" applyFill="1"/>
    <xf numFmtId="0" fontId="4" fillId="0" borderId="0" xfId="0" applyFont="1" applyAlignment="1">
      <alignment horizontal="right"/>
    </xf>
    <xf numFmtId="0" fontId="0" fillId="0" borderId="0" xfId="0" applyFill="1"/>
    <xf numFmtId="165" fontId="0" fillId="0" borderId="0" xfId="0" applyNumberFormat="1" applyFill="1" applyAlignment="1"/>
    <xf numFmtId="168" fontId="0" fillId="4" borderId="0" xfId="2" applyNumberFormat="1" applyFont="1" applyFill="1"/>
    <xf numFmtId="0" fontId="0" fillId="0" borderId="0" xfId="0" applyAlignment="1">
      <alignment horizontal="center"/>
    </xf>
    <xf numFmtId="164" fontId="0" fillId="4" borderId="0" xfId="0" applyNumberFormat="1" applyFill="1"/>
    <xf numFmtId="165" fontId="0" fillId="0" borderId="0" xfId="0" applyNumberFormat="1"/>
    <xf numFmtId="0" fontId="0" fillId="5" borderId="0" xfId="0" applyFill="1"/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1" fontId="0" fillId="4" borderId="0" xfId="0" applyNumberFormat="1" applyFill="1" applyAlignment="1"/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/>
    </xf>
  </cellXfs>
  <cellStyles count="3">
    <cellStyle name="Dziesiętny" xfId="2" builtinId="3"/>
    <cellStyle name="Normalny" xfId="0" builtinId="0"/>
    <cellStyle name="Procentowy" xfId="1" builtinId="5"/>
  </cellStyles>
  <dxfs count="1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759445957105826E-2"/>
          <c:y val="3.1780422531750847E-2"/>
          <c:w val="0.6927684973957694"/>
          <c:h val="0.90119678201041542"/>
        </c:manualLayout>
      </c:layout>
      <c:scatterChart>
        <c:scatterStyle val="smoothMarker"/>
        <c:varyColors val="0"/>
        <c:ser>
          <c:idx val="0"/>
          <c:order val="0"/>
          <c:tx>
            <c:v>Pompa1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 pompy'!$K$15:$K$23</c:f>
              <c:numCache>
                <c:formatCode>General</c:formatCode>
                <c:ptCount val="9"/>
                <c:pt idx="0">
                  <c:v>1.2E-2</c:v>
                </c:pt>
                <c:pt idx="1">
                  <c:v>1.2999999999999999E-2</c:v>
                </c:pt>
                <c:pt idx="2">
                  <c:v>1.4E-2</c:v>
                </c:pt>
                <c:pt idx="3">
                  <c:v>1.4999999999999999E-2</c:v>
                </c:pt>
                <c:pt idx="4">
                  <c:v>1.6E-2</c:v>
                </c:pt>
                <c:pt idx="5">
                  <c:v>1.7000000000000001E-2</c:v>
                </c:pt>
                <c:pt idx="6">
                  <c:v>1.7999999999999999E-2</c:v>
                </c:pt>
                <c:pt idx="7">
                  <c:v>1.9E-2</c:v>
                </c:pt>
                <c:pt idx="8">
                  <c:v>0.02</c:v>
                </c:pt>
              </c:numCache>
            </c:numRef>
          </c:xVal>
          <c:yVal>
            <c:numRef>
              <c:f>'2 pompy'!$H$15:$H$23</c:f>
              <c:numCache>
                <c:formatCode>0.0</c:formatCode>
                <c:ptCount val="9"/>
                <c:pt idx="0">
                  <c:v>19.600000000000001</c:v>
                </c:pt>
                <c:pt idx="1">
                  <c:v>19.2</c:v>
                </c:pt>
                <c:pt idx="2">
                  <c:v>18.899999999999999</c:v>
                </c:pt>
                <c:pt idx="3">
                  <c:v>18.600000000000001</c:v>
                </c:pt>
                <c:pt idx="4">
                  <c:v>18.399999999999999</c:v>
                </c:pt>
                <c:pt idx="5">
                  <c:v>18.100000000000001</c:v>
                </c:pt>
                <c:pt idx="6">
                  <c:v>17.7</c:v>
                </c:pt>
                <c:pt idx="7">
                  <c:v>17.2</c:v>
                </c:pt>
                <c:pt idx="8">
                  <c:v>16.600000000000001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7C-4375-BA7F-C02567641FA9}"/>
            </c:ext>
          </c:extLst>
        </c:ser>
        <c:ser>
          <c:idx val="1"/>
          <c:order val="1"/>
          <c:tx>
            <c:v>2 Pompy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 pompy'!$E$15:$E$23</c:f>
              <c:numCache>
                <c:formatCode>0.0000</c:formatCode>
                <c:ptCount val="9"/>
                <c:pt idx="0">
                  <c:v>2.4E-2</c:v>
                </c:pt>
                <c:pt idx="1">
                  <c:v>2.5999999999999999E-2</c:v>
                </c:pt>
                <c:pt idx="2">
                  <c:v>2.8000000000000001E-2</c:v>
                </c:pt>
                <c:pt idx="3">
                  <c:v>0.03</c:v>
                </c:pt>
                <c:pt idx="4">
                  <c:v>3.2000000000000001E-2</c:v>
                </c:pt>
                <c:pt idx="5">
                  <c:v>3.4000000000000002E-2</c:v>
                </c:pt>
                <c:pt idx="6">
                  <c:v>3.5999999999999997E-2</c:v>
                </c:pt>
                <c:pt idx="7">
                  <c:v>3.7999999999999999E-2</c:v>
                </c:pt>
                <c:pt idx="8">
                  <c:v>0.04</c:v>
                </c:pt>
              </c:numCache>
            </c:numRef>
          </c:xVal>
          <c:yVal>
            <c:numRef>
              <c:f>'2 pompy'!$H$15:$H$23</c:f>
              <c:numCache>
                <c:formatCode>0.0</c:formatCode>
                <c:ptCount val="9"/>
                <c:pt idx="0">
                  <c:v>19.600000000000001</c:v>
                </c:pt>
                <c:pt idx="1">
                  <c:v>19.2</c:v>
                </c:pt>
                <c:pt idx="2">
                  <c:v>18.899999999999999</c:v>
                </c:pt>
                <c:pt idx="3">
                  <c:v>18.600000000000001</c:v>
                </c:pt>
                <c:pt idx="4">
                  <c:v>18.399999999999999</c:v>
                </c:pt>
                <c:pt idx="5">
                  <c:v>18.100000000000001</c:v>
                </c:pt>
                <c:pt idx="6">
                  <c:v>17.7</c:v>
                </c:pt>
                <c:pt idx="7">
                  <c:v>17.2</c:v>
                </c:pt>
                <c:pt idx="8">
                  <c:v>16.600000000000001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7C-4375-BA7F-C02567641FA9}"/>
            </c:ext>
          </c:extLst>
        </c:ser>
        <c:ser>
          <c:idx val="2"/>
          <c:order val="2"/>
          <c:tx>
            <c:v>Przewody wewn.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 pompy'!$E$15:$E$23</c:f>
              <c:numCache>
                <c:formatCode>0.0000</c:formatCode>
                <c:ptCount val="9"/>
                <c:pt idx="0">
                  <c:v>2.4E-2</c:v>
                </c:pt>
                <c:pt idx="1">
                  <c:v>2.5999999999999999E-2</c:v>
                </c:pt>
                <c:pt idx="2">
                  <c:v>2.8000000000000001E-2</c:v>
                </c:pt>
                <c:pt idx="3">
                  <c:v>0.03</c:v>
                </c:pt>
                <c:pt idx="4">
                  <c:v>3.2000000000000001E-2</c:v>
                </c:pt>
                <c:pt idx="5">
                  <c:v>3.4000000000000002E-2</c:v>
                </c:pt>
                <c:pt idx="6">
                  <c:v>3.5999999999999997E-2</c:v>
                </c:pt>
                <c:pt idx="7">
                  <c:v>3.7999999999999999E-2</c:v>
                </c:pt>
                <c:pt idx="8">
                  <c:v>0.04</c:v>
                </c:pt>
              </c:numCache>
            </c:numRef>
          </c:xVal>
          <c:yVal>
            <c:numRef>
              <c:f>'2 pompy'!$V$15:$V$23</c:f>
              <c:numCache>
                <c:formatCode>0.000</c:formatCode>
                <c:ptCount val="9"/>
                <c:pt idx="0">
                  <c:v>0.42320111144969441</c:v>
                </c:pt>
                <c:pt idx="1">
                  <c:v>0.49708930369203769</c:v>
                </c:pt>
                <c:pt idx="2">
                  <c:v>0.57690946528603937</c:v>
                </c:pt>
                <c:pt idx="3">
                  <c:v>0.66266036024438746</c:v>
                </c:pt>
                <c:pt idx="4">
                  <c:v>0.75434098893799906</c:v>
                </c:pt>
                <c:pt idx="5">
                  <c:v>0.85195053191358427</c:v>
                </c:pt>
                <c:pt idx="6">
                  <c:v>0.95548830922286931</c:v>
                </c:pt>
                <c:pt idx="7">
                  <c:v>1.0649537504843885</c:v>
                </c:pt>
                <c:pt idx="8">
                  <c:v>1.1803463724985161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7C-4375-BA7F-C02567641FA9}"/>
            </c:ext>
          </c:extLst>
        </c:ser>
        <c:ser>
          <c:idx val="3"/>
          <c:order val="3"/>
          <c:tx>
            <c:v>Przewody zewn.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 pompy'!$E$15:$E$23</c:f>
              <c:numCache>
                <c:formatCode>0.0000</c:formatCode>
                <c:ptCount val="9"/>
                <c:pt idx="0">
                  <c:v>2.4E-2</c:v>
                </c:pt>
                <c:pt idx="1">
                  <c:v>2.5999999999999999E-2</c:v>
                </c:pt>
                <c:pt idx="2">
                  <c:v>2.8000000000000001E-2</c:v>
                </c:pt>
                <c:pt idx="3">
                  <c:v>0.03</c:v>
                </c:pt>
                <c:pt idx="4">
                  <c:v>3.2000000000000001E-2</c:v>
                </c:pt>
                <c:pt idx="5">
                  <c:v>3.4000000000000002E-2</c:v>
                </c:pt>
                <c:pt idx="6">
                  <c:v>3.5999999999999997E-2</c:v>
                </c:pt>
                <c:pt idx="7">
                  <c:v>3.7999999999999999E-2</c:v>
                </c:pt>
                <c:pt idx="8">
                  <c:v>0.04</c:v>
                </c:pt>
              </c:numCache>
            </c:numRef>
          </c:xVal>
          <c:yVal>
            <c:numRef>
              <c:f>'2 pompy'!$AI$15:$AI$23</c:f>
              <c:numCache>
                <c:formatCode>0.000</c:formatCode>
                <c:ptCount val="9"/>
                <c:pt idx="0">
                  <c:v>15.316208408533379</c:v>
                </c:pt>
                <c:pt idx="1">
                  <c:v>18.054441182184426</c:v>
                </c:pt>
                <c:pt idx="2">
                  <c:v>21.019428555178493</c:v>
                </c:pt>
                <c:pt idx="3">
                  <c:v>24.210802816478889</c:v>
                </c:pt>
                <c:pt idx="4">
                  <c:v>27.628245167903817</c:v>
                </c:pt>
                <c:pt idx="5">
                  <c:v>31.271480205082977</c:v>
                </c:pt>
                <c:pt idx="6">
                  <c:v>35.140270054882912</c:v>
                </c:pt>
                <c:pt idx="7">
                  <c:v>39.23440889260732</c:v>
                </c:pt>
                <c:pt idx="8">
                  <c:v>43.553718099543055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7C-4375-BA7F-C02567641FA9}"/>
            </c:ext>
          </c:extLst>
        </c:ser>
        <c:ser>
          <c:idx val="4"/>
          <c:order val="4"/>
          <c:tx>
            <c:v>Straty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 pompy'!$E$15:$E$23</c:f>
              <c:numCache>
                <c:formatCode>0.0000</c:formatCode>
                <c:ptCount val="9"/>
                <c:pt idx="0">
                  <c:v>2.4E-2</c:v>
                </c:pt>
                <c:pt idx="1">
                  <c:v>2.5999999999999999E-2</c:v>
                </c:pt>
                <c:pt idx="2">
                  <c:v>2.8000000000000001E-2</c:v>
                </c:pt>
                <c:pt idx="3">
                  <c:v>0.03</c:v>
                </c:pt>
                <c:pt idx="4">
                  <c:v>3.2000000000000001E-2</c:v>
                </c:pt>
                <c:pt idx="5">
                  <c:v>3.4000000000000002E-2</c:v>
                </c:pt>
                <c:pt idx="6">
                  <c:v>3.5999999999999997E-2</c:v>
                </c:pt>
                <c:pt idx="7">
                  <c:v>3.7999999999999999E-2</c:v>
                </c:pt>
                <c:pt idx="8">
                  <c:v>0.04</c:v>
                </c:pt>
              </c:numCache>
            </c:numRef>
          </c:xVal>
          <c:yVal>
            <c:numRef>
              <c:f>'2 pompy'!$AJ$15:$AJ$23</c:f>
              <c:numCache>
                <c:formatCode>0.000</c:formatCode>
                <c:ptCount val="9"/>
                <c:pt idx="0">
                  <c:v>25.998326717435308</c:v>
                </c:pt>
                <c:pt idx="1">
                  <c:v>28.8104476833287</c:v>
                </c:pt>
                <c:pt idx="2">
                  <c:v>31.855255217916767</c:v>
                </c:pt>
                <c:pt idx="3">
                  <c:v>35.132380374175511</c:v>
                </c:pt>
                <c:pt idx="4">
                  <c:v>38.641503354294052</c:v>
                </c:pt>
                <c:pt idx="5">
                  <c:v>42.382347934448795</c:v>
                </c:pt>
                <c:pt idx="6">
                  <c:v>46.354675561558018</c:v>
                </c:pt>
                <c:pt idx="7">
                  <c:v>50.558279840543946</c:v>
                </c:pt>
                <c:pt idx="8">
                  <c:v>54.992981669493808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7C-4375-BA7F-C02567641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027576"/>
        <c:axId val="639021016"/>
      </c:scatterChart>
      <c:valAx>
        <c:axId val="63902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39021016"/>
        <c:crosses val="autoZero"/>
        <c:crossBetween val="midCat"/>
      </c:valAx>
      <c:valAx>
        <c:axId val="639021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39027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759445957105826E-2"/>
          <c:y val="3.1780422531750847E-2"/>
          <c:w val="0.6927684973957694"/>
          <c:h val="0.90119678201041542"/>
        </c:manualLayout>
      </c:layout>
      <c:scatterChart>
        <c:scatterStyle val="smoothMarker"/>
        <c:varyColors val="0"/>
        <c:ser>
          <c:idx val="0"/>
          <c:order val="0"/>
          <c:tx>
            <c:v>Pompa1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 pompy'!$K$15:$K$23</c:f>
              <c:numCache>
                <c:formatCode>General</c:formatCode>
                <c:ptCount val="9"/>
                <c:pt idx="0">
                  <c:v>1.1999999999999999E-2</c:v>
                </c:pt>
                <c:pt idx="1">
                  <c:v>1.2999999999999999E-2</c:v>
                </c:pt>
                <c:pt idx="2">
                  <c:v>1.4E-2</c:v>
                </c:pt>
                <c:pt idx="3">
                  <c:v>1.4999999999999999E-2</c:v>
                </c:pt>
                <c:pt idx="4">
                  <c:v>1.6E-2</c:v>
                </c:pt>
                <c:pt idx="5">
                  <c:v>1.6999999999999998E-2</c:v>
                </c:pt>
                <c:pt idx="6">
                  <c:v>1.7999999999999999E-2</c:v>
                </c:pt>
                <c:pt idx="7">
                  <c:v>1.9E-2</c:v>
                </c:pt>
                <c:pt idx="8">
                  <c:v>0.02</c:v>
                </c:pt>
              </c:numCache>
            </c:numRef>
          </c:xVal>
          <c:yVal>
            <c:numRef>
              <c:f>'3 pompy'!$H$15:$H$23</c:f>
              <c:numCache>
                <c:formatCode>0.0</c:formatCode>
                <c:ptCount val="9"/>
                <c:pt idx="0">
                  <c:v>19.600000000000001</c:v>
                </c:pt>
                <c:pt idx="1">
                  <c:v>19.2</c:v>
                </c:pt>
                <c:pt idx="2">
                  <c:v>18.899999999999999</c:v>
                </c:pt>
                <c:pt idx="3">
                  <c:v>18.600000000000001</c:v>
                </c:pt>
                <c:pt idx="4">
                  <c:v>18.399999999999999</c:v>
                </c:pt>
                <c:pt idx="5">
                  <c:v>18.100000000000001</c:v>
                </c:pt>
                <c:pt idx="6">
                  <c:v>17.7</c:v>
                </c:pt>
                <c:pt idx="7">
                  <c:v>17.2</c:v>
                </c:pt>
                <c:pt idx="8">
                  <c:v>16.600000000000001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61-4A33-AD8C-66062A00AE0B}"/>
            </c:ext>
          </c:extLst>
        </c:ser>
        <c:ser>
          <c:idx val="1"/>
          <c:order val="1"/>
          <c:tx>
            <c:v>2 Pompy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 pompy'!$E$15:$E$23</c:f>
              <c:numCache>
                <c:formatCode>0.0000</c:formatCode>
                <c:ptCount val="9"/>
                <c:pt idx="0">
                  <c:v>3.5999999999999997E-2</c:v>
                </c:pt>
                <c:pt idx="1">
                  <c:v>3.9E-2</c:v>
                </c:pt>
                <c:pt idx="2">
                  <c:v>4.2000000000000003E-2</c:v>
                </c:pt>
                <c:pt idx="3">
                  <c:v>4.4999999999999998E-2</c:v>
                </c:pt>
                <c:pt idx="4">
                  <c:v>4.8000000000000001E-2</c:v>
                </c:pt>
                <c:pt idx="5">
                  <c:v>5.0999999999999997E-2</c:v>
                </c:pt>
                <c:pt idx="6">
                  <c:v>5.3999999999999999E-2</c:v>
                </c:pt>
                <c:pt idx="7">
                  <c:v>5.7000000000000002E-2</c:v>
                </c:pt>
                <c:pt idx="8">
                  <c:v>0.06</c:v>
                </c:pt>
              </c:numCache>
            </c:numRef>
          </c:xVal>
          <c:yVal>
            <c:numRef>
              <c:f>'3 pompy'!$H$15:$H$23</c:f>
              <c:numCache>
                <c:formatCode>0.0</c:formatCode>
                <c:ptCount val="9"/>
                <c:pt idx="0">
                  <c:v>19.600000000000001</c:v>
                </c:pt>
                <c:pt idx="1">
                  <c:v>19.2</c:v>
                </c:pt>
                <c:pt idx="2">
                  <c:v>18.899999999999999</c:v>
                </c:pt>
                <c:pt idx="3">
                  <c:v>18.600000000000001</c:v>
                </c:pt>
                <c:pt idx="4">
                  <c:v>18.399999999999999</c:v>
                </c:pt>
                <c:pt idx="5">
                  <c:v>18.100000000000001</c:v>
                </c:pt>
                <c:pt idx="6">
                  <c:v>17.7</c:v>
                </c:pt>
                <c:pt idx="7">
                  <c:v>17.2</c:v>
                </c:pt>
                <c:pt idx="8">
                  <c:v>16.600000000000001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61-4A33-AD8C-66062A00AE0B}"/>
            </c:ext>
          </c:extLst>
        </c:ser>
        <c:ser>
          <c:idx val="2"/>
          <c:order val="2"/>
          <c:tx>
            <c:v>Przewody wewn.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 pompy'!$E$15:$E$23</c:f>
              <c:numCache>
                <c:formatCode>0.0000</c:formatCode>
                <c:ptCount val="9"/>
                <c:pt idx="0">
                  <c:v>3.5999999999999997E-2</c:v>
                </c:pt>
                <c:pt idx="1">
                  <c:v>3.9E-2</c:v>
                </c:pt>
                <c:pt idx="2">
                  <c:v>4.2000000000000003E-2</c:v>
                </c:pt>
                <c:pt idx="3">
                  <c:v>4.4999999999999998E-2</c:v>
                </c:pt>
                <c:pt idx="4">
                  <c:v>4.8000000000000001E-2</c:v>
                </c:pt>
                <c:pt idx="5">
                  <c:v>5.0999999999999997E-2</c:v>
                </c:pt>
                <c:pt idx="6">
                  <c:v>5.3999999999999999E-2</c:v>
                </c:pt>
                <c:pt idx="7">
                  <c:v>5.7000000000000002E-2</c:v>
                </c:pt>
                <c:pt idx="8">
                  <c:v>0.06</c:v>
                </c:pt>
              </c:numCache>
            </c:numRef>
          </c:xVal>
          <c:yVal>
            <c:numRef>
              <c:f>'3 pompy'!$V$15:$V$23</c:f>
              <c:numCache>
                <c:formatCode>0.000</c:formatCode>
                <c:ptCount val="9"/>
                <c:pt idx="0">
                  <c:v>0.42320111144969441</c:v>
                </c:pt>
                <c:pt idx="1">
                  <c:v>0.49708930369203769</c:v>
                </c:pt>
                <c:pt idx="2">
                  <c:v>0.57690946528603937</c:v>
                </c:pt>
                <c:pt idx="3">
                  <c:v>0.66266036024438746</c:v>
                </c:pt>
                <c:pt idx="4">
                  <c:v>0.75434098893799906</c:v>
                </c:pt>
                <c:pt idx="5">
                  <c:v>0.85195053191358405</c:v>
                </c:pt>
                <c:pt idx="6">
                  <c:v>0.95548830922286931</c:v>
                </c:pt>
                <c:pt idx="7">
                  <c:v>1.0649537504843885</c:v>
                </c:pt>
                <c:pt idx="8">
                  <c:v>1.1803463724985161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61-4A33-AD8C-66062A00AE0B}"/>
            </c:ext>
          </c:extLst>
        </c:ser>
        <c:ser>
          <c:idx val="3"/>
          <c:order val="3"/>
          <c:tx>
            <c:v>Przewody zewn.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 pompy'!$E$15:$E$23</c:f>
              <c:numCache>
                <c:formatCode>0.0000</c:formatCode>
                <c:ptCount val="9"/>
                <c:pt idx="0">
                  <c:v>3.5999999999999997E-2</c:v>
                </c:pt>
                <c:pt idx="1">
                  <c:v>3.9E-2</c:v>
                </c:pt>
                <c:pt idx="2">
                  <c:v>4.2000000000000003E-2</c:v>
                </c:pt>
                <c:pt idx="3">
                  <c:v>4.4999999999999998E-2</c:v>
                </c:pt>
                <c:pt idx="4">
                  <c:v>4.8000000000000001E-2</c:v>
                </c:pt>
                <c:pt idx="5">
                  <c:v>5.0999999999999997E-2</c:v>
                </c:pt>
                <c:pt idx="6">
                  <c:v>5.3999999999999999E-2</c:v>
                </c:pt>
                <c:pt idx="7">
                  <c:v>5.7000000000000002E-2</c:v>
                </c:pt>
                <c:pt idx="8">
                  <c:v>0.06</c:v>
                </c:pt>
              </c:numCache>
            </c:numRef>
          </c:xVal>
          <c:yVal>
            <c:numRef>
              <c:f>'3 pompy'!$AI$15:$AI$23</c:f>
              <c:numCache>
                <c:formatCode>0.000</c:formatCode>
                <c:ptCount val="9"/>
                <c:pt idx="0">
                  <c:v>35.140270054882912</c:v>
                </c:pt>
                <c:pt idx="1">
                  <c:v>41.365927419030591</c:v>
                </c:pt>
                <c:pt idx="2">
                  <c:v>48.098042108705108</c:v>
                </c:pt>
                <c:pt idx="3">
                  <c:v>55.336137931256808</c:v>
                </c:pt>
                <c:pt idx="4">
                  <c:v>63.079823241212132</c:v>
                </c:pt>
                <c:pt idx="5">
                  <c:v>71.328772945746408</c:v>
                </c:pt>
                <c:pt idx="6">
                  <c:v>80.082714759553681</c:v>
                </c:pt>
                <c:pt idx="7">
                  <c:v>89.341418665169172</c:v>
                </c:pt>
                <c:pt idx="8">
                  <c:v>99.104688778471882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61-4A33-AD8C-66062A00AE0B}"/>
            </c:ext>
          </c:extLst>
        </c:ser>
        <c:ser>
          <c:idx val="4"/>
          <c:order val="4"/>
          <c:tx>
            <c:v>Straty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 pompy'!$E$15:$E$23</c:f>
              <c:numCache>
                <c:formatCode>0.0000</c:formatCode>
                <c:ptCount val="9"/>
                <c:pt idx="0">
                  <c:v>3.5999999999999997E-2</c:v>
                </c:pt>
                <c:pt idx="1">
                  <c:v>3.9E-2</c:v>
                </c:pt>
                <c:pt idx="2">
                  <c:v>4.2000000000000003E-2</c:v>
                </c:pt>
                <c:pt idx="3">
                  <c:v>4.4999999999999998E-2</c:v>
                </c:pt>
                <c:pt idx="4">
                  <c:v>4.8000000000000001E-2</c:v>
                </c:pt>
                <c:pt idx="5">
                  <c:v>5.0999999999999997E-2</c:v>
                </c:pt>
                <c:pt idx="6">
                  <c:v>5.3999999999999999E-2</c:v>
                </c:pt>
                <c:pt idx="7">
                  <c:v>5.7000000000000002E-2</c:v>
                </c:pt>
                <c:pt idx="8">
                  <c:v>0.06</c:v>
                </c:pt>
              </c:numCache>
            </c:numRef>
          </c:xVal>
          <c:yVal>
            <c:numRef>
              <c:f>'3 pompy'!$AJ$15:$AJ$23</c:f>
              <c:numCache>
                <c:formatCode>0.000</c:formatCode>
                <c:ptCount val="9"/>
                <c:pt idx="0">
                  <c:v>45.822388363784839</c:v>
                </c:pt>
                <c:pt idx="1">
                  <c:v>52.121933920174861</c:v>
                </c:pt>
                <c:pt idx="2">
                  <c:v>58.933868771443379</c:v>
                </c:pt>
                <c:pt idx="3">
                  <c:v>66.257715488953437</c:v>
                </c:pt>
                <c:pt idx="4">
                  <c:v>74.093081427602357</c:v>
                </c:pt>
                <c:pt idx="5">
                  <c:v>82.43964067511223</c:v>
                </c:pt>
                <c:pt idx="6">
                  <c:v>91.297120266228788</c:v>
                </c:pt>
                <c:pt idx="7">
                  <c:v>100.6652896131058</c:v>
                </c:pt>
                <c:pt idx="8">
                  <c:v>110.54395234842264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761-4A33-AD8C-66062A00A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027576"/>
        <c:axId val="639021016"/>
      </c:scatterChart>
      <c:valAx>
        <c:axId val="63902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39021016"/>
        <c:crosses val="autoZero"/>
        <c:crossBetween val="midCat"/>
      </c:valAx>
      <c:valAx>
        <c:axId val="639021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39027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759445957105826E-2"/>
          <c:y val="3.1780422531750847E-2"/>
          <c:w val="0.6927684973957694"/>
          <c:h val="0.90119678201041542"/>
        </c:manualLayout>
      </c:layout>
      <c:scatterChart>
        <c:scatterStyle val="smoothMarker"/>
        <c:varyColors val="0"/>
        <c:ser>
          <c:idx val="0"/>
          <c:order val="0"/>
          <c:tx>
            <c:v>Pompa1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 pompy STARE'!$K$15:$K$23</c:f>
              <c:numCache>
                <c:formatCode>General</c:formatCode>
                <c:ptCount val="9"/>
                <c:pt idx="0">
                  <c:v>1.1999999999999999E-2</c:v>
                </c:pt>
                <c:pt idx="1">
                  <c:v>1.2999999999999999E-2</c:v>
                </c:pt>
                <c:pt idx="2">
                  <c:v>1.4E-2</c:v>
                </c:pt>
                <c:pt idx="3">
                  <c:v>1.4999999999999999E-2</c:v>
                </c:pt>
                <c:pt idx="4">
                  <c:v>1.6E-2</c:v>
                </c:pt>
                <c:pt idx="5">
                  <c:v>1.6999999999999998E-2</c:v>
                </c:pt>
                <c:pt idx="6">
                  <c:v>1.7999999999999999E-2</c:v>
                </c:pt>
                <c:pt idx="7">
                  <c:v>1.9E-2</c:v>
                </c:pt>
                <c:pt idx="8">
                  <c:v>0.02</c:v>
                </c:pt>
              </c:numCache>
            </c:numRef>
          </c:xVal>
          <c:yVal>
            <c:numRef>
              <c:f>'3 pompy STARE'!$H$15:$H$23</c:f>
              <c:numCache>
                <c:formatCode>0.0</c:formatCode>
                <c:ptCount val="9"/>
                <c:pt idx="0">
                  <c:v>19.600000000000001</c:v>
                </c:pt>
                <c:pt idx="1">
                  <c:v>19.2</c:v>
                </c:pt>
                <c:pt idx="2">
                  <c:v>18.899999999999999</c:v>
                </c:pt>
                <c:pt idx="3">
                  <c:v>18.600000000000001</c:v>
                </c:pt>
                <c:pt idx="4">
                  <c:v>18.399999999999999</c:v>
                </c:pt>
                <c:pt idx="5">
                  <c:v>18.100000000000001</c:v>
                </c:pt>
                <c:pt idx="6">
                  <c:v>17.7</c:v>
                </c:pt>
                <c:pt idx="7">
                  <c:v>17.2</c:v>
                </c:pt>
                <c:pt idx="8">
                  <c:v>16.600000000000001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86-4365-B95B-E1D0B4D5C2C4}"/>
            </c:ext>
          </c:extLst>
        </c:ser>
        <c:ser>
          <c:idx val="1"/>
          <c:order val="1"/>
          <c:tx>
            <c:v>2 Pompy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'3 pompy STARE'!$E$15:$E$23</c:f>
              <c:numCache>
                <c:formatCode>0.0000</c:formatCode>
                <c:ptCount val="9"/>
                <c:pt idx="0">
                  <c:v>3.5999999999999997E-2</c:v>
                </c:pt>
                <c:pt idx="1">
                  <c:v>3.9E-2</c:v>
                </c:pt>
                <c:pt idx="2">
                  <c:v>4.2000000000000003E-2</c:v>
                </c:pt>
                <c:pt idx="3">
                  <c:v>4.4999999999999998E-2</c:v>
                </c:pt>
                <c:pt idx="4">
                  <c:v>4.8000000000000001E-2</c:v>
                </c:pt>
                <c:pt idx="5">
                  <c:v>5.0999999999999997E-2</c:v>
                </c:pt>
                <c:pt idx="6">
                  <c:v>5.3999999999999999E-2</c:v>
                </c:pt>
                <c:pt idx="7">
                  <c:v>5.7000000000000002E-2</c:v>
                </c:pt>
                <c:pt idx="8">
                  <c:v>0.06</c:v>
                </c:pt>
              </c:numCache>
            </c:numRef>
          </c:xVal>
          <c:yVal>
            <c:numRef>
              <c:f>'3 pompy STARE'!$H$15:$H$23</c:f>
              <c:numCache>
                <c:formatCode>0.0</c:formatCode>
                <c:ptCount val="9"/>
                <c:pt idx="0">
                  <c:v>19.600000000000001</c:v>
                </c:pt>
                <c:pt idx="1">
                  <c:v>19.2</c:v>
                </c:pt>
                <c:pt idx="2">
                  <c:v>18.899999999999999</c:v>
                </c:pt>
                <c:pt idx="3">
                  <c:v>18.600000000000001</c:v>
                </c:pt>
                <c:pt idx="4">
                  <c:v>18.399999999999999</c:v>
                </c:pt>
                <c:pt idx="5">
                  <c:v>18.100000000000001</c:v>
                </c:pt>
                <c:pt idx="6">
                  <c:v>17.7</c:v>
                </c:pt>
                <c:pt idx="7">
                  <c:v>17.2</c:v>
                </c:pt>
                <c:pt idx="8">
                  <c:v>16.600000000000001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86-4365-B95B-E1D0B4D5C2C4}"/>
            </c:ext>
          </c:extLst>
        </c:ser>
        <c:ser>
          <c:idx val="2"/>
          <c:order val="2"/>
          <c:tx>
            <c:v>Przewody wewn.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 pompy STARE'!$E$15:$E$23</c:f>
              <c:numCache>
                <c:formatCode>0.0000</c:formatCode>
                <c:ptCount val="9"/>
                <c:pt idx="0">
                  <c:v>3.5999999999999997E-2</c:v>
                </c:pt>
                <c:pt idx="1">
                  <c:v>3.9E-2</c:v>
                </c:pt>
                <c:pt idx="2">
                  <c:v>4.2000000000000003E-2</c:v>
                </c:pt>
                <c:pt idx="3">
                  <c:v>4.4999999999999998E-2</c:v>
                </c:pt>
                <c:pt idx="4">
                  <c:v>4.8000000000000001E-2</c:v>
                </c:pt>
                <c:pt idx="5">
                  <c:v>5.0999999999999997E-2</c:v>
                </c:pt>
                <c:pt idx="6">
                  <c:v>5.3999999999999999E-2</c:v>
                </c:pt>
                <c:pt idx="7">
                  <c:v>5.7000000000000002E-2</c:v>
                </c:pt>
                <c:pt idx="8">
                  <c:v>0.06</c:v>
                </c:pt>
              </c:numCache>
            </c:numRef>
          </c:xVal>
          <c:yVal>
            <c:numRef>
              <c:f>'3 pompy STARE'!$V$15:$V$23</c:f>
              <c:numCache>
                <c:formatCode>0.000</c:formatCode>
                <c:ptCount val="9"/>
                <c:pt idx="0">
                  <c:v>0.42320111144969441</c:v>
                </c:pt>
                <c:pt idx="1">
                  <c:v>0.49708930369203769</c:v>
                </c:pt>
                <c:pt idx="2">
                  <c:v>0.57690946528603937</c:v>
                </c:pt>
                <c:pt idx="3">
                  <c:v>0.66266036024438746</c:v>
                </c:pt>
                <c:pt idx="4">
                  <c:v>0.75434098893799906</c:v>
                </c:pt>
                <c:pt idx="5">
                  <c:v>0.85195053191358405</c:v>
                </c:pt>
                <c:pt idx="6">
                  <c:v>0.95548830922286931</c:v>
                </c:pt>
                <c:pt idx="7">
                  <c:v>1.0649537504843885</c:v>
                </c:pt>
                <c:pt idx="8">
                  <c:v>1.1803463724985161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86-4365-B95B-E1D0B4D5C2C4}"/>
            </c:ext>
          </c:extLst>
        </c:ser>
        <c:ser>
          <c:idx val="3"/>
          <c:order val="3"/>
          <c:tx>
            <c:v>Przewody zewn.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 pompy STARE'!$E$15:$E$23</c:f>
              <c:numCache>
                <c:formatCode>0.0000</c:formatCode>
                <c:ptCount val="9"/>
                <c:pt idx="0">
                  <c:v>3.5999999999999997E-2</c:v>
                </c:pt>
                <c:pt idx="1">
                  <c:v>3.9E-2</c:v>
                </c:pt>
                <c:pt idx="2">
                  <c:v>4.2000000000000003E-2</c:v>
                </c:pt>
                <c:pt idx="3">
                  <c:v>4.4999999999999998E-2</c:v>
                </c:pt>
                <c:pt idx="4">
                  <c:v>4.8000000000000001E-2</c:v>
                </c:pt>
                <c:pt idx="5">
                  <c:v>5.0999999999999997E-2</c:v>
                </c:pt>
                <c:pt idx="6">
                  <c:v>5.3999999999999999E-2</c:v>
                </c:pt>
                <c:pt idx="7">
                  <c:v>5.7000000000000002E-2</c:v>
                </c:pt>
                <c:pt idx="8">
                  <c:v>0.06</c:v>
                </c:pt>
              </c:numCache>
            </c:numRef>
          </c:xVal>
          <c:yVal>
            <c:numRef>
              <c:f>'3 pompy STARE'!$AI$15:$AI$23</c:f>
              <c:numCache>
                <c:formatCode>0.000</c:formatCode>
                <c:ptCount val="9"/>
                <c:pt idx="0">
                  <c:v>35.140270054882912</c:v>
                </c:pt>
                <c:pt idx="1">
                  <c:v>41.365927419030591</c:v>
                </c:pt>
                <c:pt idx="2">
                  <c:v>48.098042108705108</c:v>
                </c:pt>
                <c:pt idx="3">
                  <c:v>55.336137931256808</c:v>
                </c:pt>
                <c:pt idx="4">
                  <c:v>63.079823241212132</c:v>
                </c:pt>
                <c:pt idx="5">
                  <c:v>71.328772945746408</c:v>
                </c:pt>
                <c:pt idx="6">
                  <c:v>80.082714759553681</c:v>
                </c:pt>
                <c:pt idx="7">
                  <c:v>89.341418665169172</c:v>
                </c:pt>
                <c:pt idx="8">
                  <c:v>99.104688778471882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B86-4365-B95B-E1D0B4D5C2C4}"/>
            </c:ext>
          </c:extLst>
        </c:ser>
        <c:ser>
          <c:idx val="4"/>
          <c:order val="4"/>
          <c:tx>
            <c:v>Straty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 pompy STARE'!$E$15:$E$23</c:f>
              <c:numCache>
                <c:formatCode>0.0000</c:formatCode>
                <c:ptCount val="9"/>
                <c:pt idx="0">
                  <c:v>3.5999999999999997E-2</c:v>
                </c:pt>
                <c:pt idx="1">
                  <c:v>3.9E-2</c:v>
                </c:pt>
                <c:pt idx="2">
                  <c:v>4.2000000000000003E-2</c:v>
                </c:pt>
                <c:pt idx="3">
                  <c:v>4.4999999999999998E-2</c:v>
                </c:pt>
                <c:pt idx="4">
                  <c:v>4.8000000000000001E-2</c:v>
                </c:pt>
                <c:pt idx="5">
                  <c:v>5.0999999999999997E-2</c:v>
                </c:pt>
                <c:pt idx="6">
                  <c:v>5.3999999999999999E-2</c:v>
                </c:pt>
                <c:pt idx="7">
                  <c:v>5.7000000000000002E-2</c:v>
                </c:pt>
                <c:pt idx="8">
                  <c:v>0.06</c:v>
                </c:pt>
              </c:numCache>
            </c:numRef>
          </c:xVal>
          <c:yVal>
            <c:numRef>
              <c:f>'3 pompy STARE'!$AJ$15:$AJ$23</c:f>
              <c:numCache>
                <c:formatCode>0.000</c:formatCode>
                <c:ptCount val="9"/>
                <c:pt idx="0">
                  <c:v>45.822388363784839</c:v>
                </c:pt>
                <c:pt idx="1">
                  <c:v>52.121933920174861</c:v>
                </c:pt>
                <c:pt idx="2">
                  <c:v>58.933868771443379</c:v>
                </c:pt>
                <c:pt idx="3">
                  <c:v>66.257715488953437</c:v>
                </c:pt>
                <c:pt idx="4">
                  <c:v>74.093081427602357</c:v>
                </c:pt>
                <c:pt idx="5">
                  <c:v>82.43964067511223</c:v>
                </c:pt>
                <c:pt idx="6">
                  <c:v>91.297120266228788</c:v>
                </c:pt>
                <c:pt idx="7">
                  <c:v>100.6652896131058</c:v>
                </c:pt>
                <c:pt idx="8">
                  <c:v>110.54395234842264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B86-4365-B95B-E1D0B4D5C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027576"/>
        <c:axId val="639021016"/>
      </c:scatterChart>
      <c:valAx>
        <c:axId val="63902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39021016"/>
        <c:crosses val="autoZero"/>
        <c:crossBetween val="midCat"/>
      </c:valAx>
      <c:valAx>
        <c:axId val="639021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39027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228600</xdr:colOff>
      <xdr:row>33</xdr:row>
      <xdr:rowOff>14287</xdr:rowOff>
    </xdr:from>
    <xdr:to>
      <xdr:col>37</xdr:col>
      <xdr:colOff>247650</xdr:colOff>
      <xdr:row>58</xdr:row>
      <xdr:rowOff>28575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24A23C4E-0EF6-4C09-A6E4-9AAD0856CE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228600</xdr:colOff>
      <xdr:row>33</xdr:row>
      <xdr:rowOff>14287</xdr:rowOff>
    </xdr:from>
    <xdr:to>
      <xdr:col>37</xdr:col>
      <xdr:colOff>247650</xdr:colOff>
      <xdr:row>58</xdr:row>
      <xdr:rowOff>28575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E6F29C7D-B610-44D9-9E0A-FFF9808FF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228600</xdr:colOff>
      <xdr:row>33</xdr:row>
      <xdr:rowOff>14287</xdr:rowOff>
    </xdr:from>
    <xdr:to>
      <xdr:col>36</xdr:col>
      <xdr:colOff>247650</xdr:colOff>
      <xdr:row>56</xdr:row>
      <xdr:rowOff>28575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789E8996-BE1B-4F1F-9E1C-3718CC7C0C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D7F7-63CE-41C8-BACC-CE02861A201D}">
  <sheetPr codeName="Arkusz1"/>
  <dimension ref="A1:AE185"/>
  <sheetViews>
    <sheetView workbookViewId="0">
      <selection activeCell="B86" sqref="B86:E91"/>
    </sheetView>
  </sheetViews>
  <sheetFormatPr defaultRowHeight="15" x14ac:dyDescent="0.25"/>
  <cols>
    <col min="1" max="1" width="4.7109375" customWidth="1"/>
    <col min="2" max="2" width="46.140625" customWidth="1"/>
    <col min="3" max="3" width="9.42578125" style="2" customWidth="1"/>
    <col min="4" max="4" width="1.7109375" customWidth="1"/>
    <col min="5" max="5" width="13.85546875" style="7" customWidth="1"/>
    <col min="6" max="6" width="10.28515625" customWidth="1"/>
    <col min="7" max="7" width="9.5703125" bestFit="1" customWidth="1"/>
    <col min="9" max="9" width="38.28515625" customWidth="1"/>
    <col min="10" max="10" width="41.28515625" customWidth="1"/>
    <col min="11" max="25" width="10.140625" customWidth="1"/>
  </cols>
  <sheetData>
    <row r="1" spans="2:8" ht="33.75" x14ac:dyDescent="0.5">
      <c r="B1" s="1" t="s">
        <v>11</v>
      </c>
    </row>
    <row r="2" spans="2:8" x14ac:dyDescent="0.25">
      <c r="B2" t="s">
        <v>42</v>
      </c>
      <c r="C2" s="61" t="s">
        <v>37</v>
      </c>
      <c r="D2" s="61"/>
      <c r="E2" s="6"/>
    </row>
    <row r="3" spans="2:8" x14ac:dyDescent="0.25">
      <c r="B3" t="s">
        <v>41</v>
      </c>
      <c r="C3" s="61" t="s">
        <v>38</v>
      </c>
      <c r="D3" s="61"/>
      <c r="E3" s="8"/>
    </row>
    <row r="4" spans="2:8" x14ac:dyDescent="0.25">
      <c r="B4" t="s">
        <v>43</v>
      </c>
      <c r="C4" s="61"/>
      <c r="D4" s="61"/>
      <c r="E4" s="9"/>
    </row>
    <row r="5" spans="2:8" x14ac:dyDescent="0.25">
      <c r="B5" t="s">
        <v>44</v>
      </c>
      <c r="C5" s="61" t="s">
        <v>37</v>
      </c>
      <c r="D5" s="61"/>
      <c r="E5" s="18"/>
    </row>
    <row r="6" spans="2:8" x14ac:dyDescent="0.25">
      <c r="B6" t="s">
        <v>122</v>
      </c>
      <c r="C6" s="61" t="s">
        <v>123</v>
      </c>
      <c r="D6" s="61"/>
      <c r="E6" s="34"/>
    </row>
    <row r="7" spans="2:8" x14ac:dyDescent="0.25">
      <c r="C7" s="33"/>
      <c r="D7" s="33"/>
      <c r="E7" s="35"/>
    </row>
    <row r="9" spans="2:8" ht="33.75" x14ac:dyDescent="0.5">
      <c r="B9" s="1" t="s">
        <v>0</v>
      </c>
    </row>
    <row r="10" spans="2:8" x14ac:dyDescent="0.25">
      <c r="B10" t="s">
        <v>1</v>
      </c>
      <c r="C10" s="2" t="s">
        <v>2</v>
      </c>
      <c r="D10" t="s">
        <v>23</v>
      </c>
      <c r="E10" s="6">
        <v>57</v>
      </c>
      <c r="F10" t="s">
        <v>39</v>
      </c>
      <c r="G10" s="5">
        <f>E10/3.6</f>
        <v>15.833333333333332</v>
      </c>
      <c r="H10" t="s">
        <v>26</v>
      </c>
    </row>
    <row r="11" spans="2:8" x14ac:dyDescent="0.25">
      <c r="B11" t="s">
        <v>3</v>
      </c>
      <c r="C11" s="2" t="s">
        <v>12</v>
      </c>
      <c r="D11" t="s">
        <v>23</v>
      </c>
      <c r="E11" s="6">
        <v>100</v>
      </c>
      <c r="F11" t="s">
        <v>4</v>
      </c>
    </row>
    <row r="12" spans="2:8" x14ac:dyDescent="0.25">
      <c r="B12" t="s">
        <v>5</v>
      </c>
      <c r="C12" s="2" t="s">
        <v>13</v>
      </c>
      <c r="D12" t="s">
        <v>23</v>
      </c>
      <c r="E12" s="6">
        <v>96</v>
      </c>
      <c r="F12" t="s">
        <v>4</v>
      </c>
    </row>
    <row r="13" spans="2:8" x14ac:dyDescent="0.25">
      <c r="B13" t="s">
        <v>6</v>
      </c>
      <c r="C13" s="2" t="s">
        <v>14</v>
      </c>
      <c r="D13" t="s">
        <v>23</v>
      </c>
      <c r="E13" s="6">
        <v>105</v>
      </c>
      <c r="F13" t="s">
        <v>4</v>
      </c>
    </row>
    <row r="14" spans="2:8" x14ac:dyDescent="0.25">
      <c r="B14" t="s">
        <v>7</v>
      </c>
      <c r="C14" s="2" t="s">
        <v>15</v>
      </c>
      <c r="D14" t="s">
        <v>23</v>
      </c>
      <c r="E14" s="6">
        <v>105</v>
      </c>
      <c r="F14" t="s">
        <v>4</v>
      </c>
    </row>
    <row r="15" spans="2:8" x14ac:dyDescent="0.25">
      <c r="B15" t="s">
        <v>8</v>
      </c>
      <c r="C15" s="2" t="s">
        <v>16</v>
      </c>
      <c r="D15" t="s">
        <v>23</v>
      </c>
      <c r="E15" s="13">
        <v>10</v>
      </c>
      <c r="F15" t="s">
        <v>9</v>
      </c>
      <c r="G15" s="11">
        <f>E15*60</f>
        <v>600</v>
      </c>
      <c r="H15" t="s">
        <v>10</v>
      </c>
    </row>
    <row r="16" spans="2:8" x14ac:dyDescent="0.25">
      <c r="B16" t="s">
        <v>17</v>
      </c>
      <c r="C16" s="2" t="s">
        <v>18</v>
      </c>
      <c r="D16" t="s">
        <v>23</v>
      </c>
      <c r="E16" s="13">
        <v>2500</v>
      </c>
      <c r="F16" t="s">
        <v>19</v>
      </c>
    </row>
    <row r="17" spans="2:10" x14ac:dyDescent="0.25">
      <c r="B17" t="s">
        <v>161</v>
      </c>
      <c r="C17" s="2" t="s">
        <v>162</v>
      </c>
      <c r="D17" t="s">
        <v>23</v>
      </c>
      <c r="E17" s="13">
        <v>2</v>
      </c>
      <c r="F17" t="s">
        <v>19</v>
      </c>
    </row>
    <row r="18" spans="2:10" x14ac:dyDescent="0.25">
      <c r="B18" t="s">
        <v>168</v>
      </c>
      <c r="C18" s="2" t="s">
        <v>170</v>
      </c>
      <c r="D18" t="s">
        <v>23</v>
      </c>
      <c r="E18" s="6">
        <v>10</v>
      </c>
      <c r="F18" t="s">
        <v>26</v>
      </c>
      <c r="G18" s="9">
        <f>E18*3.6</f>
        <v>36</v>
      </c>
      <c r="H18" t="s">
        <v>40</v>
      </c>
      <c r="I18" s="36">
        <f>E18/1000</f>
        <v>0.01</v>
      </c>
      <c r="J18" t="s">
        <v>167</v>
      </c>
    </row>
    <row r="19" spans="2:10" x14ac:dyDescent="0.25">
      <c r="B19" t="s">
        <v>169</v>
      </c>
      <c r="C19" s="2" t="s">
        <v>171</v>
      </c>
      <c r="D19" t="s">
        <v>23</v>
      </c>
      <c r="E19" s="6">
        <v>22.2</v>
      </c>
      <c r="F19" t="s">
        <v>26</v>
      </c>
      <c r="G19" s="9">
        <f>E19*3.6</f>
        <v>79.92</v>
      </c>
      <c r="H19" t="s">
        <v>40</v>
      </c>
      <c r="I19" s="48">
        <f>E19/1000</f>
        <v>2.2200000000000001E-2</v>
      </c>
      <c r="J19" t="s">
        <v>167</v>
      </c>
    </row>
    <row r="20" spans="2:10" x14ac:dyDescent="0.25">
      <c r="B20" t="s">
        <v>138</v>
      </c>
      <c r="E20" s="42">
        <v>1.0068E-6</v>
      </c>
      <c r="F20" t="s">
        <v>137</v>
      </c>
    </row>
    <row r="23" spans="2:10" ht="33.75" x14ac:dyDescent="0.5">
      <c r="B23" s="1" t="s">
        <v>36</v>
      </c>
    </row>
    <row r="24" spans="2:10" x14ac:dyDescent="0.25">
      <c r="B24" t="s">
        <v>20</v>
      </c>
      <c r="C24" s="2" t="s">
        <v>22</v>
      </c>
      <c r="D24" t="s">
        <v>23</v>
      </c>
      <c r="E24" s="10">
        <v>1.4</v>
      </c>
      <c r="F24" t="s">
        <v>21</v>
      </c>
    </row>
    <row r="25" spans="2:10" x14ac:dyDescent="0.25">
      <c r="B25" t="s">
        <v>24</v>
      </c>
      <c r="C25" s="2" t="s">
        <v>25</v>
      </c>
      <c r="D25" t="s">
        <v>23</v>
      </c>
      <c r="E25" s="9">
        <f>E10*E24</f>
        <v>79.8</v>
      </c>
      <c r="F25" t="s">
        <v>40</v>
      </c>
      <c r="G25" s="5">
        <f>E25/3.6</f>
        <v>22.166666666666664</v>
      </c>
      <c r="H25" t="s">
        <v>26</v>
      </c>
      <c r="I25" s="12" t="s">
        <v>27</v>
      </c>
    </row>
    <row r="26" spans="2:10" x14ac:dyDescent="0.25">
      <c r="B26" t="s">
        <v>28</v>
      </c>
      <c r="C26" s="2" t="s">
        <v>29</v>
      </c>
      <c r="D26" t="s">
        <v>23</v>
      </c>
      <c r="E26" s="8">
        <v>0.2</v>
      </c>
      <c r="F26" s="4" t="s">
        <v>19</v>
      </c>
    </row>
    <row r="27" spans="2:10" x14ac:dyDescent="0.25">
      <c r="B27" t="s">
        <v>30</v>
      </c>
      <c r="C27" s="2" t="s">
        <v>31</v>
      </c>
      <c r="D27" t="s">
        <v>23</v>
      </c>
      <c r="E27" s="8">
        <v>0</v>
      </c>
      <c r="F27" s="4" t="s">
        <v>19</v>
      </c>
      <c r="I27" s="27" t="s">
        <v>99</v>
      </c>
    </row>
    <row r="28" spans="2:10" x14ac:dyDescent="0.25">
      <c r="B28" t="s">
        <v>33</v>
      </c>
      <c r="C28" s="2" t="s">
        <v>34</v>
      </c>
      <c r="D28" t="s">
        <v>23</v>
      </c>
      <c r="E28" s="9">
        <f>E12-E26-E27</f>
        <v>95.8</v>
      </c>
      <c r="F28" s="4" t="s">
        <v>4</v>
      </c>
    </row>
    <row r="29" spans="2:10" x14ac:dyDescent="0.25">
      <c r="B29" t="s">
        <v>35</v>
      </c>
      <c r="C29" s="2" t="s">
        <v>32</v>
      </c>
      <c r="D29" t="s">
        <v>23</v>
      </c>
      <c r="E29" s="9">
        <f>E14-E28</f>
        <v>9.2000000000000028</v>
      </c>
      <c r="F29" s="4" t="s">
        <v>19</v>
      </c>
    </row>
    <row r="32" spans="2:10" ht="33.75" x14ac:dyDescent="0.5">
      <c r="B32" s="1" t="s">
        <v>45</v>
      </c>
    </row>
    <row r="33" spans="1:8" ht="15" customHeight="1" x14ac:dyDescent="0.25">
      <c r="A33" s="63" t="s">
        <v>62</v>
      </c>
      <c r="B33" t="s">
        <v>46</v>
      </c>
      <c r="C33" s="2" t="s">
        <v>47</v>
      </c>
      <c r="D33" t="s">
        <v>48</v>
      </c>
      <c r="E33" s="10">
        <v>1.5</v>
      </c>
      <c r="F33" s="14" t="s">
        <v>21</v>
      </c>
      <c r="G33" s="15">
        <v>2.5</v>
      </c>
      <c r="H33" t="s">
        <v>49</v>
      </c>
    </row>
    <row r="34" spans="1:8" x14ac:dyDescent="0.25">
      <c r="A34" s="63"/>
      <c r="B34" t="s">
        <v>66</v>
      </c>
      <c r="C34" s="2" t="s">
        <v>65</v>
      </c>
      <c r="D34" t="s">
        <v>23</v>
      </c>
      <c r="E34" s="25">
        <v>6</v>
      </c>
      <c r="F34" s="3" t="s">
        <v>19</v>
      </c>
      <c r="G34" s="21"/>
    </row>
    <row r="35" spans="1:8" x14ac:dyDescent="0.25">
      <c r="A35" s="63"/>
      <c r="B35" t="s">
        <v>50</v>
      </c>
      <c r="C35" s="16" t="s">
        <v>51</v>
      </c>
      <c r="D35" t="s">
        <v>23</v>
      </c>
      <c r="E35" s="17">
        <v>110</v>
      </c>
      <c r="F35" t="s">
        <v>52</v>
      </c>
      <c r="G35" s="31">
        <f>POWER((E35/1000)/2, 2)*3.14</f>
        <v>9.4985E-3</v>
      </c>
      <c r="H35" t="s">
        <v>90</v>
      </c>
    </row>
    <row r="36" spans="1:8" x14ac:dyDescent="0.25">
      <c r="A36" s="63"/>
      <c r="B36" t="s">
        <v>55</v>
      </c>
      <c r="C36" s="2" t="s">
        <v>54</v>
      </c>
      <c r="D36" t="s">
        <v>23</v>
      </c>
      <c r="E36" s="20">
        <v>16</v>
      </c>
      <c r="F36" s="19" t="s">
        <v>64</v>
      </c>
    </row>
    <row r="37" spans="1:8" x14ac:dyDescent="0.25">
      <c r="A37" s="63"/>
      <c r="B37" t="s">
        <v>53</v>
      </c>
      <c r="C37" s="16" t="s">
        <v>56</v>
      </c>
      <c r="D37" t="s">
        <v>23</v>
      </c>
      <c r="E37" s="9">
        <f>E36*E34/1000</f>
        <v>9.6000000000000002E-2</v>
      </c>
      <c r="F37" t="s">
        <v>19</v>
      </c>
    </row>
    <row r="38" spans="1:8" x14ac:dyDescent="0.25">
      <c r="A38" s="63"/>
      <c r="B38" t="s">
        <v>57</v>
      </c>
      <c r="C38" s="2" t="s">
        <v>47</v>
      </c>
      <c r="D38" t="s">
        <v>23</v>
      </c>
      <c r="E38" s="9">
        <f>(4*G$25/1000)/(3.14*POWER(E35/1000, 2))</f>
        <v>2.3337018125668965</v>
      </c>
      <c r="F38" t="s">
        <v>49</v>
      </c>
    </row>
    <row r="39" spans="1:8" x14ac:dyDescent="0.25">
      <c r="A39" s="63"/>
      <c r="B39" t="s">
        <v>58</v>
      </c>
      <c r="C39" s="16" t="s">
        <v>59</v>
      </c>
      <c r="D39" t="s">
        <v>23</v>
      </c>
      <c r="E39" s="18">
        <f>2*0.27+0.6+0.2+2+0.04</f>
        <v>3.38</v>
      </c>
      <c r="F39" t="s">
        <v>21</v>
      </c>
    </row>
    <row r="40" spans="1:8" x14ac:dyDescent="0.25">
      <c r="A40" s="63"/>
      <c r="B40" t="s">
        <v>60</v>
      </c>
      <c r="C40" s="16" t="s">
        <v>56</v>
      </c>
      <c r="D40" t="s">
        <v>23</v>
      </c>
      <c r="E40" s="9">
        <f>E39*POWER(E38, 2)/(2*9.81)</f>
        <v>0.93822807476685521</v>
      </c>
    </row>
    <row r="41" spans="1:8" x14ac:dyDescent="0.25">
      <c r="A41" s="63"/>
      <c r="B41" t="s">
        <v>61</v>
      </c>
      <c r="C41" s="16" t="s">
        <v>56</v>
      </c>
      <c r="D41" t="s">
        <v>23</v>
      </c>
      <c r="E41" s="9">
        <f>E40+E37</f>
        <v>1.0342280747668553</v>
      </c>
    </row>
    <row r="42" spans="1:8" x14ac:dyDescent="0.25">
      <c r="A42" s="63"/>
      <c r="B42" t="s">
        <v>142</v>
      </c>
      <c r="C42" s="16"/>
      <c r="D42" t="s">
        <v>23</v>
      </c>
      <c r="E42" s="43">
        <v>8.0000000000000004E-4</v>
      </c>
      <c r="F42" t="s">
        <v>19</v>
      </c>
    </row>
    <row r="43" spans="1:8" ht="15" customHeight="1" x14ac:dyDescent="0.25">
      <c r="A43" s="63" t="s">
        <v>63</v>
      </c>
      <c r="B43" t="s">
        <v>46</v>
      </c>
      <c r="C43" s="2" t="s">
        <v>47</v>
      </c>
      <c r="D43" t="s">
        <v>48</v>
      </c>
      <c r="E43" s="10">
        <v>0.8</v>
      </c>
      <c r="F43" s="14" t="s">
        <v>21</v>
      </c>
      <c r="G43" s="15">
        <v>1</v>
      </c>
      <c r="H43" t="s">
        <v>49</v>
      </c>
    </row>
    <row r="44" spans="1:8" x14ac:dyDescent="0.25">
      <c r="A44" s="63"/>
      <c r="B44" t="s">
        <v>50</v>
      </c>
      <c r="C44" s="16" t="s">
        <v>51</v>
      </c>
      <c r="D44" t="s">
        <v>23</v>
      </c>
      <c r="E44" s="17">
        <v>180</v>
      </c>
      <c r="F44" t="s">
        <v>52</v>
      </c>
      <c r="G44" s="31">
        <f>POWER((E44/1000)/2, 2)*3.14</f>
        <v>2.5433999999999998E-2</v>
      </c>
      <c r="H44" t="s">
        <v>90</v>
      </c>
    </row>
    <row r="45" spans="1:8" x14ac:dyDescent="0.25">
      <c r="A45" s="63"/>
      <c r="B45" t="s">
        <v>55</v>
      </c>
      <c r="C45" s="2" t="s">
        <v>54</v>
      </c>
      <c r="D45" t="s">
        <v>23</v>
      </c>
      <c r="E45" s="20">
        <v>4.5</v>
      </c>
      <c r="F45" s="19" t="s">
        <v>64</v>
      </c>
    </row>
    <row r="46" spans="1:8" x14ac:dyDescent="0.25">
      <c r="A46" s="63"/>
      <c r="B46" t="s">
        <v>53</v>
      </c>
      <c r="C46" s="16" t="s">
        <v>56</v>
      </c>
      <c r="D46" t="s">
        <v>23</v>
      </c>
      <c r="E46" s="9">
        <f>E45*E$16/1000</f>
        <v>11.25</v>
      </c>
      <c r="F46" t="s">
        <v>19</v>
      </c>
    </row>
    <row r="47" spans="1:8" x14ac:dyDescent="0.25">
      <c r="A47" s="63"/>
      <c r="B47" t="s">
        <v>57</v>
      </c>
      <c r="C47" s="2" t="s">
        <v>47</v>
      </c>
      <c r="D47" t="s">
        <v>23</v>
      </c>
      <c r="E47" s="9">
        <f>(4*G$25/1000)/(3.14*POWER(E44/1000, 2))</f>
        <v>0.87153678802652612</v>
      </c>
      <c r="F47" t="s">
        <v>49</v>
      </c>
    </row>
    <row r="48" spans="1:8" x14ac:dyDescent="0.25">
      <c r="A48" s="63"/>
      <c r="B48" t="s">
        <v>58</v>
      </c>
      <c r="C48" s="16" t="s">
        <v>59</v>
      </c>
      <c r="D48" t="s">
        <v>23</v>
      </c>
      <c r="E48" s="18">
        <v>0</v>
      </c>
      <c r="F48" t="s">
        <v>21</v>
      </c>
    </row>
    <row r="49" spans="1:31" x14ac:dyDescent="0.25">
      <c r="A49" s="63"/>
      <c r="B49" t="s">
        <v>60</v>
      </c>
      <c r="C49" s="16" t="s">
        <v>56</v>
      </c>
      <c r="D49" t="s">
        <v>23</v>
      </c>
      <c r="E49" s="9">
        <f>E48*POWER(E47, 2)/(2*9.81)</f>
        <v>0</v>
      </c>
      <c r="F49" t="s">
        <v>19</v>
      </c>
    </row>
    <row r="50" spans="1:31" x14ac:dyDescent="0.25">
      <c r="A50" s="63"/>
      <c r="B50" t="s">
        <v>61</v>
      </c>
      <c r="C50" s="16" t="s">
        <v>56</v>
      </c>
      <c r="D50" t="s">
        <v>23</v>
      </c>
      <c r="E50" s="9">
        <f>E49+E46</f>
        <v>11.25</v>
      </c>
      <c r="F50" t="s">
        <v>19</v>
      </c>
    </row>
    <row r="51" spans="1:31" x14ac:dyDescent="0.25">
      <c r="A51" s="63"/>
      <c r="B51" t="s">
        <v>142</v>
      </c>
      <c r="C51" s="16"/>
      <c r="D51" t="s">
        <v>23</v>
      </c>
      <c r="E51" s="43">
        <v>5.0000000000000001E-4</v>
      </c>
      <c r="F51" t="s">
        <v>19</v>
      </c>
    </row>
    <row r="52" spans="1:31" x14ac:dyDescent="0.25">
      <c r="B52" s="23" t="s">
        <v>67</v>
      </c>
      <c r="C52" s="24" t="s">
        <v>68</v>
      </c>
      <c r="D52" s="23" t="s">
        <v>23</v>
      </c>
      <c r="E52" s="22">
        <f>E50+E41</f>
        <v>12.284228074766855</v>
      </c>
      <c r="F52" t="s">
        <v>19</v>
      </c>
    </row>
    <row r="55" spans="1:31" ht="33.75" x14ac:dyDescent="0.5">
      <c r="B55" s="1" t="s">
        <v>70</v>
      </c>
      <c r="C55"/>
      <c r="J55" s="1" t="s">
        <v>106</v>
      </c>
    </row>
    <row r="56" spans="1:31" x14ac:dyDescent="0.25">
      <c r="C56"/>
      <c r="K56" s="62"/>
      <c r="L56" s="62"/>
      <c r="M56" s="62"/>
      <c r="N56" s="62"/>
      <c r="O56" s="62"/>
      <c r="P56" s="62"/>
      <c r="Q56" s="62"/>
      <c r="R56" s="62"/>
      <c r="S56" s="62"/>
    </row>
    <row r="57" spans="1:31" x14ac:dyDescent="0.25">
      <c r="C57"/>
      <c r="K57" s="62" t="s">
        <v>62</v>
      </c>
      <c r="L57" s="62"/>
      <c r="M57" s="62"/>
      <c r="N57" s="62"/>
      <c r="O57" s="62"/>
      <c r="P57" s="62"/>
      <c r="Q57" s="62"/>
      <c r="R57" s="62"/>
      <c r="S57" s="62"/>
      <c r="T57" s="62"/>
      <c r="U57" s="62" t="s">
        <v>62</v>
      </c>
      <c r="V57" s="62"/>
      <c r="W57" s="62"/>
      <c r="X57" s="62"/>
      <c r="Y57" s="62"/>
      <c r="Z57" s="62"/>
      <c r="AA57" s="62"/>
      <c r="AB57" s="62"/>
      <c r="AC57" s="62"/>
      <c r="AD57" s="62"/>
    </row>
    <row r="58" spans="1:31" x14ac:dyDescent="0.25">
      <c r="C58"/>
      <c r="E58" s="7" t="s">
        <v>134</v>
      </c>
      <c r="F58" t="s">
        <v>135</v>
      </c>
      <c r="G58" t="s">
        <v>136</v>
      </c>
      <c r="H58" t="s">
        <v>69</v>
      </c>
      <c r="K58" t="s">
        <v>108</v>
      </c>
      <c r="L58" t="s">
        <v>139</v>
      </c>
      <c r="M58" t="s">
        <v>140</v>
      </c>
      <c r="N58" t="s">
        <v>141</v>
      </c>
      <c r="O58" t="s">
        <v>89</v>
      </c>
      <c r="P58" t="s">
        <v>143</v>
      </c>
      <c r="Q58" t="s">
        <v>144</v>
      </c>
      <c r="R58" t="s">
        <v>145</v>
      </c>
      <c r="S58" t="s">
        <v>107</v>
      </c>
      <c r="T58" t="s">
        <v>146</v>
      </c>
      <c r="U58" t="s">
        <v>108</v>
      </c>
      <c r="V58" t="s">
        <v>139</v>
      </c>
      <c r="W58" t="s">
        <v>140</v>
      </c>
      <c r="X58" t="s">
        <v>141</v>
      </c>
      <c r="Y58" t="s">
        <v>89</v>
      </c>
      <c r="Z58" t="s">
        <v>143</v>
      </c>
      <c r="AA58" t="s">
        <v>144</v>
      </c>
      <c r="AB58" t="s">
        <v>145</v>
      </c>
      <c r="AC58" t="s">
        <v>107</v>
      </c>
      <c r="AD58" t="s">
        <v>146</v>
      </c>
      <c r="AE58" t="s">
        <v>147</v>
      </c>
    </row>
    <row r="59" spans="1:31" x14ac:dyDescent="0.25">
      <c r="B59" s="41"/>
      <c r="C59" t="s">
        <v>71</v>
      </c>
      <c r="D59" t="s">
        <v>48</v>
      </c>
      <c r="E59" s="44">
        <f>G59/1000</f>
        <v>1.2E-2</v>
      </c>
      <c r="F59" s="47">
        <f>E59*3600</f>
        <v>43.2</v>
      </c>
      <c r="G59" s="46">
        <v>12</v>
      </c>
      <c r="H59" s="30">
        <v>19.600000000000001</v>
      </c>
      <c r="I59" s="28"/>
      <c r="K59" s="5">
        <f t="shared" ref="K59:K73" si="0">E59/$G$35</f>
        <v>1.2633573722166658</v>
      </c>
      <c r="L59" s="11">
        <f>($E$35/1000)*K59/$E$20</f>
        <v>138030.70216908347</v>
      </c>
      <c r="M59" s="52">
        <f>1/(1+POWER((L59/2712), 8.4))</f>
        <v>4.6114499411789594E-15</v>
      </c>
      <c r="N59" s="48">
        <f>1/(1+(POWER(L59/(150*(($E$35/1000)/$E$42)),1.8)))</f>
        <v>3.1622595672045888E-2</v>
      </c>
      <c r="O59" s="5">
        <f>POWER((64/L59), M59)</f>
        <v>0.99999999999996458</v>
      </c>
      <c r="P59" s="48">
        <f>POWER(0.75*LN(L59/5.37), 2*(M59-1)*N59)</f>
        <v>0.87949975552269399</v>
      </c>
      <c r="Q59" s="48">
        <f>POWER(0.88*LN(3.41*($E$35/1000/$E$42)), 2*(M59-1)*(1-N59))</f>
        <v>3.7985670485573123E-2</v>
      </c>
      <c r="R59" s="48">
        <f>O59*P59*Q59</f>
        <v>3.3408387905425989E-2</v>
      </c>
      <c r="S59" s="31">
        <f>$E$34*R59*POWER(K59, 2)/(2*9.81*$E$35/1000)</f>
        <v>0.14824072139986813</v>
      </c>
      <c r="T59" s="31">
        <f>POWER(K59, 2)*$E$39/(2*9.81)</f>
        <v>0.27496039004982631</v>
      </c>
      <c r="U59" s="5">
        <f t="shared" ref="U59:U73" si="1">E59/$G$44</f>
        <v>0.47180938900684127</v>
      </c>
      <c r="V59" s="11">
        <f>($E$44/1000)*U59/$E$20</f>
        <v>84352.09576999546</v>
      </c>
      <c r="W59" s="52">
        <f>1/(1+POWER((V59/2712), 8.4))</f>
        <v>2.8868750434495315E-13</v>
      </c>
      <c r="X59" s="48">
        <f>1/(1+(POWER(V59/(150*(($E$44/1000)/$E$51)),1.8)))</f>
        <v>0.30942088721747751</v>
      </c>
      <c r="Y59" s="5">
        <f>POWER((64/V59), W59)</f>
        <v>0.9999999999979261</v>
      </c>
      <c r="Z59" s="48">
        <f>POWER(0.75*LN(V59/5.37), 2*(W59-1)*X59)</f>
        <v>0.29357475600871835</v>
      </c>
      <c r="AA59" s="48">
        <f>POWER(0.88*LN(3.41*($E$44/1000/$E$51)), 2*(W59-1)*(1-X59))</f>
        <v>7.9409773652255294E-2</v>
      </c>
      <c r="AB59" s="48">
        <f>Y59*Z59*AA59</f>
        <v>2.3312704924620051E-2</v>
      </c>
      <c r="AC59" s="31">
        <f t="shared" ref="AC59:AC73" si="2">$E$16*AB59*POWER(U59, 2)/(2*9.81*$E$44/1000)</f>
        <v>3.6736208007253555</v>
      </c>
      <c r="AD59" s="31">
        <f>POWER(U59, 2)*$E$48/(2*9.81)</f>
        <v>0</v>
      </c>
      <c r="AE59" s="31">
        <f>S59+T59+AC59+AD59</f>
        <v>4.0968219121750495</v>
      </c>
    </row>
    <row r="60" spans="1:31" x14ac:dyDescent="0.25">
      <c r="B60" s="41"/>
      <c r="C60" t="s">
        <v>72</v>
      </c>
      <c r="D60" t="s">
        <v>48</v>
      </c>
      <c r="E60" s="44">
        <f t="shared" ref="E60:E73" si="3">G60/1000</f>
        <v>1.2999999999999999E-2</v>
      </c>
      <c r="F60" s="47">
        <f t="shared" ref="F60:F67" si="4">E60*3600</f>
        <v>46.8</v>
      </c>
      <c r="G60" s="46">
        <v>13</v>
      </c>
      <c r="H60" s="30">
        <v>19.2</v>
      </c>
      <c r="I60" s="28"/>
      <c r="K60" s="5">
        <f t="shared" si="0"/>
        <v>1.3686371532347212</v>
      </c>
      <c r="L60" s="11">
        <f t="shared" ref="L60:L73" si="5">($E$35/1000)*K60/$E$20</f>
        <v>149533.26068317375</v>
      </c>
      <c r="M60" s="52">
        <f t="shared" ref="M60:M73" si="6">1/(1+POWER((L60/2712), 8.4))</f>
        <v>2.3541590772179867E-15</v>
      </c>
      <c r="N60" s="48">
        <f t="shared" ref="N60:N73" si="7">1/(1+(POWER(L60/(150*(($E$35/1000)/$E$42)),1.8)))</f>
        <v>2.7496181870216293E-2</v>
      </c>
      <c r="O60" s="5">
        <f t="shared" ref="O60:O73" si="8">POWER((64/L60), M60)</f>
        <v>0.99999999999998179</v>
      </c>
      <c r="P60" s="48">
        <f t="shared" ref="P60:P73" si="9">POWER(0.75*LN(L60/5.37), 2*(M60-1)*N60)</f>
        <v>0.89397392237884998</v>
      </c>
      <c r="Q60" s="48">
        <f t="shared" ref="Q60:Q73" si="10">POWER(0.88*LN(3.41*($E$35/1000/$E$42)), 2*(M60-1)*(1-N60))</f>
        <v>3.7459961373150621E-2</v>
      </c>
      <c r="R60" s="48">
        <f t="shared" ref="R60:R73" si="11">O60*P60*Q60</f>
        <v>3.3488228600915063E-2</v>
      </c>
      <c r="S60" s="31">
        <f t="shared" ref="S60:S73" si="12">$E$34*R60*POWER(K60, 2)/(2*9.81*$E$35/1000)</f>
        <v>0.17439273481411655</v>
      </c>
      <c r="T60" s="31">
        <f t="shared" ref="T60:T73" si="13">POWER(K60, 2)*$E$39/(2*9.81)</f>
        <v>0.32269656887792114</v>
      </c>
      <c r="U60" s="5">
        <f t="shared" si="1"/>
        <v>0.51112683809074466</v>
      </c>
      <c r="V60" s="11">
        <f t="shared" ref="V60:V73" si="14">($E$44/1000)*U60/$E$20</f>
        <v>91381.437084161735</v>
      </c>
      <c r="W60" s="52">
        <f t="shared" ref="W60:W73" si="15">1/(1+POWER((V60/2712), 8.4))</f>
        <v>1.4737584002905337E-13</v>
      </c>
      <c r="X60" s="48">
        <f t="shared" ref="X60:X73" si="16">1/(1+(POWER(V60/(150*(($E$44/1000)/$E$51)),1.8)))</f>
        <v>0.27950768354923017</v>
      </c>
      <c r="Y60" s="5">
        <f t="shared" ref="Y60:Y73" si="17">POWER((64/V60), W60)</f>
        <v>0.99999999999892952</v>
      </c>
      <c r="Z60" s="48">
        <f t="shared" ref="Z60:Z73" si="18">POWER(0.75*LN(V60/5.37), 2*(W60-1)*X60)</f>
        <v>0.3289833611098843</v>
      </c>
      <c r="AA60" s="48">
        <f t="shared" ref="AA60:AA73" si="19">POWER(0.88*LN(3.41*($E$44/1000/$E$51)), 2*(W60-1)*(1-X60))</f>
        <v>7.1157514985249345E-2</v>
      </c>
      <c r="AB60" s="48">
        <f t="shared" ref="AB60:AB73" si="20">Y60*Z60*AA60</f>
        <v>2.340963844804923E-2</v>
      </c>
      <c r="AC60" s="31">
        <f t="shared" si="2"/>
        <v>4.3293288699140584</v>
      </c>
      <c r="AD60" s="31">
        <f t="shared" ref="AD60:AD73" si="21">POWER(U60, 2)*$E$48/(2*9.81)</f>
        <v>0</v>
      </c>
      <c r="AE60" s="31">
        <f t="shared" ref="AE60:AE73" si="22">S60+T60+AC60+AD60</f>
        <v>4.826418173606096</v>
      </c>
    </row>
    <row r="61" spans="1:31" x14ac:dyDescent="0.25">
      <c r="B61" s="41"/>
      <c r="C61" t="s">
        <v>73</v>
      </c>
      <c r="D61" t="s">
        <v>48</v>
      </c>
      <c r="E61" s="44">
        <f t="shared" si="3"/>
        <v>1.4E-2</v>
      </c>
      <c r="F61" s="47">
        <f t="shared" si="4"/>
        <v>50.4</v>
      </c>
      <c r="G61" s="46">
        <v>14</v>
      </c>
      <c r="H61" s="30">
        <v>18.899999999999999</v>
      </c>
      <c r="I61" s="28"/>
      <c r="K61" s="5">
        <f t="shared" si="0"/>
        <v>1.4739169342527767</v>
      </c>
      <c r="L61" s="11">
        <f t="shared" si="5"/>
        <v>161035.81919726403</v>
      </c>
      <c r="M61" s="52">
        <f t="shared" si="6"/>
        <v>1.2632359182284018E-15</v>
      </c>
      <c r="N61" s="48">
        <f t="shared" si="7"/>
        <v>2.4145365048296501E-2</v>
      </c>
      <c r="O61" s="5">
        <f t="shared" si="8"/>
        <v>0.99999999999999012</v>
      </c>
      <c r="P61" s="48">
        <f t="shared" si="9"/>
        <v>0.9059522821164272</v>
      </c>
      <c r="Q61" s="48">
        <f t="shared" si="10"/>
        <v>3.7038421602644152E-2</v>
      </c>
      <c r="R61" s="48">
        <f t="shared" si="11"/>
        <v>3.355504257690551E-2</v>
      </c>
      <c r="S61" s="31">
        <f t="shared" si="12"/>
        <v>0.20265782327377574</v>
      </c>
      <c r="T61" s="31">
        <f t="shared" si="13"/>
        <v>0.37425164201226357</v>
      </c>
      <c r="U61" s="5">
        <f t="shared" si="1"/>
        <v>0.55044428717464811</v>
      </c>
      <c r="V61" s="11">
        <f t="shared" si="14"/>
        <v>98410.778398328024</v>
      </c>
      <c r="W61" s="52">
        <f t="shared" si="15"/>
        <v>7.908150999880614E-14</v>
      </c>
      <c r="X61" s="48">
        <f t="shared" si="16"/>
        <v>0.25344937759155239</v>
      </c>
      <c r="Y61" s="5">
        <f t="shared" si="17"/>
        <v>0.99999999999941969</v>
      </c>
      <c r="Z61" s="48">
        <f t="shared" si="18"/>
        <v>0.36351234053915477</v>
      </c>
      <c r="AA61" s="48">
        <f t="shared" si="19"/>
        <v>6.4670858599335385E-2</v>
      </c>
      <c r="AB61" s="48">
        <f t="shared" si="20"/>
        <v>2.3508655174107489E-2</v>
      </c>
      <c r="AC61" s="31">
        <f t="shared" si="2"/>
        <v>5.0422343158571588</v>
      </c>
      <c r="AD61" s="31">
        <f t="shared" si="21"/>
        <v>0</v>
      </c>
      <c r="AE61" s="31">
        <f t="shared" si="22"/>
        <v>5.6191437811431983</v>
      </c>
    </row>
    <row r="62" spans="1:31" x14ac:dyDescent="0.25">
      <c r="B62" s="41"/>
      <c r="C62" t="s">
        <v>74</v>
      </c>
      <c r="D62" t="s">
        <v>48</v>
      </c>
      <c r="E62" s="44">
        <f t="shared" si="3"/>
        <v>1.4999999999999999E-2</v>
      </c>
      <c r="F62" s="47">
        <f t="shared" si="4"/>
        <v>54</v>
      </c>
      <c r="G62" s="46">
        <v>15</v>
      </c>
      <c r="H62" s="30">
        <v>18.600000000000001</v>
      </c>
      <c r="I62" s="28"/>
      <c r="K62" s="5">
        <f t="shared" si="0"/>
        <v>1.5791967152708322</v>
      </c>
      <c r="L62" s="11">
        <f t="shared" si="5"/>
        <v>172538.37771135432</v>
      </c>
      <c r="M62" s="52">
        <f t="shared" si="6"/>
        <v>7.0760906729933592E-16</v>
      </c>
      <c r="N62" s="48">
        <f t="shared" si="7"/>
        <v>2.1385841285824259E-2</v>
      </c>
      <c r="O62" s="5">
        <f t="shared" si="8"/>
        <v>0.99999999999999445</v>
      </c>
      <c r="P62" s="48">
        <f t="shared" si="9"/>
        <v>0.91597529322290905</v>
      </c>
      <c r="Q62" s="48">
        <f t="shared" si="10"/>
        <v>3.6694831971503056E-2</v>
      </c>
      <c r="R62" s="48">
        <f t="shared" si="11"/>
        <v>3.3611559474862704E-2</v>
      </c>
      <c r="S62" s="31">
        <f t="shared" si="12"/>
        <v>0.23303475079153396</v>
      </c>
      <c r="T62" s="31">
        <f t="shared" si="13"/>
        <v>0.42962560945285355</v>
      </c>
      <c r="U62" s="5">
        <f t="shared" si="1"/>
        <v>0.58976173625855155</v>
      </c>
      <c r="V62" s="11">
        <f t="shared" si="14"/>
        <v>105440.1197124943</v>
      </c>
      <c r="W62" s="52">
        <f t="shared" si="15"/>
        <v>4.4297975321473324E-14</v>
      </c>
      <c r="X62" s="48">
        <f t="shared" si="16"/>
        <v>0.23067805707307631</v>
      </c>
      <c r="Y62" s="5">
        <f t="shared" si="17"/>
        <v>0.99999999999967193</v>
      </c>
      <c r="Z62" s="48">
        <f t="shared" si="18"/>
        <v>0.39682703096855915</v>
      </c>
      <c r="AA62" s="48">
        <f t="shared" si="19"/>
        <v>5.9488471207771128E-2</v>
      </c>
      <c r="AB62" s="48">
        <f t="shared" si="20"/>
        <v>2.360663340623069E-2</v>
      </c>
      <c r="AC62" s="31">
        <f t="shared" si="2"/>
        <v>5.812403298212006</v>
      </c>
      <c r="AD62" s="31">
        <f t="shared" si="21"/>
        <v>0</v>
      </c>
      <c r="AE62" s="31">
        <f t="shared" si="22"/>
        <v>6.4750636584563939</v>
      </c>
    </row>
    <row r="63" spans="1:31" x14ac:dyDescent="0.25">
      <c r="B63" s="41"/>
      <c r="C63" t="s">
        <v>75</v>
      </c>
      <c r="D63" t="s">
        <v>48</v>
      </c>
      <c r="E63" s="44">
        <f t="shared" si="3"/>
        <v>1.6E-2</v>
      </c>
      <c r="F63" s="47">
        <f t="shared" si="4"/>
        <v>57.6</v>
      </c>
      <c r="G63" s="46">
        <v>16</v>
      </c>
      <c r="H63" s="30">
        <v>18.399999999999999</v>
      </c>
      <c r="I63" s="28"/>
      <c r="K63" s="5">
        <f t="shared" si="0"/>
        <v>1.6844764962888878</v>
      </c>
      <c r="L63" s="11">
        <f t="shared" si="5"/>
        <v>184040.93622544463</v>
      </c>
      <c r="M63" s="52">
        <f t="shared" si="6"/>
        <v>4.1148320237395639E-16</v>
      </c>
      <c r="N63" s="48">
        <f t="shared" si="7"/>
        <v>1.9085101449984116E-2</v>
      </c>
      <c r="O63" s="5">
        <f t="shared" si="8"/>
        <v>0.99999999999999667</v>
      </c>
      <c r="P63" s="48">
        <f t="shared" si="9"/>
        <v>0.92444615604967595</v>
      </c>
      <c r="Q63" s="48">
        <f t="shared" si="10"/>
        <v>3.6410803523916867E-2</v>
      </c>
      <c r="R63" s="48">
        <f t="shared" si="11"/>
        <v>3.365982735636483E-2</v>
      </c>
      <c r="S63" s="31">
        <f t="shared" si="12"/>
        <v>0.26552251773830771</v>
      </c>
      <c r="T63" s="31">
        <f t="shared" si="13"/>
        <v>0.4888184711996913</v>
      </c>
      <c r="U63" s="5">
        <f t="shared" si="1"/>
        <v>0.62907918534245499</v>
      </c>
      <c r="V63" s="11">
        <f t="shared" si="14"/>
        <v>112469.46102666059</v>
      </c>
      <c r="W63" s="52">
        <f t="shared" si="15"/>
        <v>2.5759806630985266E-14</v>
      </c>
      <c r="X63" s="48">
        <f t="shared" si="16"/>
        <v>0.21070920194184997</v>
      </c>
      <c r="Y63" s="5">
        <f t="shared" si="17"/>
        <v>0.99999999999980749</v>
      </c>
      <c r="Z63" s="48">
        <f t="shared" si="18"/>
        <v>0.42870412595860652</v>
      </c>
      <c r="AA63" s="48">
        <f t="shared" si="19"/>
        <v>5.5286799884679605E-2</v>
      </c>
      <c r="AB63" s="48">
        <f t="shared" si="20"/>
        <v>2.3701679221605394E-2</v>
      </c>
      <c r="AC63" s="31">
        <f t="shared" si="2"/>
        <v>6.6398496886109299</v>
      </c>
      <c r="AD63" s="31">
        <f t="shared" si="21"/>
        <v>0</v>
      </c>
      <c r="AE63" s="31">
        <f t="shared" si="22"/>
        <v>7.394190677548929</v>
      </c>
    </row>
    <row r="64" spans="1:31" x14ac:dyDescent="0.25">
      <c r="B64" s="41"/>
      <c r="C64" t="s">
        <v>76</v>
      </c>
      <c r="D64" t="s">
        <v>48</v>
      </c>
      <c r="E64" s="44">
        <f t="shared" si="3"/>
        <v>1.7000000000000001E-2</v>
      </c>
      <c r="F64" s="47">
        <f t="shared" si="4"/>
        <v>61.2</v>
      </c>
      <c r="G64" s="46">
        <v>17</v>
      </c>
      <c r="H64" s="30">
        <v>18.100000000000001</v>
      </c>
      <c r="I64" s="28"/>
      <c r="K64" s="5">
        <f t="shared" si="0"/>
        <v>1.7897562773069433</v>
      </c>
      <c r="L64" s="11">
        <f t="shared" si="5"/>
        <v>195543.49473953492</v>
      </c>
      <c r="M64" s="52">
        <f t="shared" si="6"/>
        <v>2.4728001921999218E-16</v>
      </c>
      <c r="N64" s="48">
        <f t="shared" si="7"/>
        <v>1.714589299733791E-2</v>
      </c>
      <c r="O64" s="5">
        <f t="shared" si="8"/>
        <v>0.999999999999998</v>
      </c>
      <c r="P64" s="48">
        <f t="shared" si="9"/>
        <v>0.93167002713793312</v>
      </c>
      <c r="Q64" s="48">
        <f t="shared" si="10"/>
        <v>3.6173114565595355E-2</v>
      </c>
      <c r="R64" s="48">
        <f t="shared" si="11"/>
        <v>3.3701406628991723E-2</v>
      </c>
      <c r="S64" s="31">
        <f t="shared" si="12"/>
        <v>0.30012030466080786</v>
      </c>
      <c r="T64" s="31">
        <f t="shared" si="13"/>
        <v>0.55183022725277642</v>
      </c>
      <c r="U64" s="5">
        <f t="shared" si="1"/>
        <v>0.66839663442635855</v>
      </c>
      <c r="V64" s="11">
        <f t="shared" si="14"/>
        <v>119498.80234082691</v>
      </c>
      <c r="W64" s="52">
        <f t="shared" si="15"/>
        <v>1.5480305008962135E-14</v>
      </c>
      <c r="X64" s="48">
        <f t="shared" si="16"/>
        <v>0.19313294257669122</v>
      </c>
      <c r="Y64" s="5">
        <f t="shared" si="17"/>
        <v>0.99999999999988343</v>
      </c>
      <c r="Z64" s="48">
        <f t="shared" si="18"/>
        <v>0.45900995060760458</v>
      </c>
      <c r="AA64" s="48">
        <f t="shared" si="19"/>
        <v>5.1834822847615585E-2</v>
      </c>
      <c r="AB64" s="48">
        <f t="shared" si="20"/>
        <v>2.3792699475035189E-2</v>
      </c>
      <c r="AC64" s="31">
        <f t="shared" si="2"/>
        <v>7.5245533968613918</v>
      </c>
      <c r="AD64" s="31">
        <f t="shared" si="21"/>
        <v>0</v>
      </c>
      <c r="AE64" s="31">
        <f t="shared" si="22"/>
        <v>8.3765039287749765</v>
      </c>
    </row>
    <row r="65" spans="2:31" x14ac:dyDescent="0.25">
      <c r="B65" s="41"/>
      <c r="C65" t="s">
        <v>77</v>
      </c>
      <c r="D65" t="s">
        <v>48</v>
      </c>
      <c r="E65" s="44">
        <f t="shared" si="3"/>
        <v>1.7999999999999999E-2</v>
      </c>
      <c r="F65" s="47">
        <f t="shared" si="4"/>
        <v>64.8</v>
      </c>
      <c r="G65" s="46">
        <v>18</v>
      </c>
      <c r="H65" s="30">
        <v>17.7</v>
      </c>
      <c r="I65" s="28"/>
      <c r="K65" s="5">
        <f t="shared" si="0"/>
        <v>1.8950360583249986</v>
      </c>
      <c r="L65" s="11">
        <f t="shared" si="5"/>
        <v>207046.05325362517</v>
      </c>
      <c r="M65" s="52">
        <f t="shared" si="6"/>
        <v>1.5299277518951367E-16</v>
      </c>
      <c r="N65" s="48">
        <f t="shared" si="7"/>
        <v>1.549552503883652E-2</v>
      </c>
      <c r="O65" s="5">
        <f t="shared" si="8"/>
        <v>0.99999999999999878</v>
      </c>
      <c r="P65" s="48">
        <f t="shared" si="9"/>
        <v>0.93788098385071583</v>
      </c>
      <c r="Q65" s="48">
        <f t="shared" si="10"/>
        <v>3.5972051383242436E-2</v>
      </c>
      <c r="R65" s="48">
        <f t="shared" si="11"/>
        <v>3.3737502942443882E-2</v>
      </c>
      <c r="S65" s="31">
        <f t="shared" si="12"/>
        <v>0.33682743161076023</v>
      </c>
      <c r="T65" s="31">
        <f t="shared" si="13"/>
        <v>0.61866087761210908</v>
      </c>
      <c r="U65" s="5">
        <f t="shared" si="1"/>
        <v>0.70771408351026188</v>
      </c>
      <c r="V65" s="11">
        <f t="shared" si="14"/>
        <v>126528.14365499317</v>
      </c>
      <c r="W65" s="52">
        <f t="shared" si="15"/>
        <v>9.5777039793669362E-15</v>
      </c>
      <c r="X65" s="48">
        <f t="shared" si="16"/>
        <v>0.17760405676343916</v>
      </c>
      <c r="Y65" s="5">
        <f t="shared" si="17"/>
        <v>0.99999999999992728</v>
      </c>
      <c r="Z65" s="48">
        <f t="shared" si="18"/>
        <v>0.48768006436708478</v>
      </c>
      <c r="AA65" s="48">
        <f t="shared" si="19"/>
        <v>4.8964728398129348E-2</v>
      </c>
      <c r="AB65" s="48">
        <f t="shared" si="20"/>
        <v>2.3879121896914806E-2</v>
      </c>
      <c r="AC65" s="31">
        <f t="shared" si="2"/>
        <v>8.4664730313885919</v>
      </c>
      <c r="AD65" s="31">
        <f t="shared" si="21"/>
        <v>0</v>
      </c>
      <c r="AE65" s="31">
        <f t="shared" si="22"/>
        <v>9.4219613406114604</v>
      </c>
    </row>
    <row r="66" spans="2:31" x14ac:dyDescent="0.25">
      <c r="B66" s="41"/>
      <c r="C66" t="s">
        <v>78</v>
      </c>
      <c r="D66" t="s">
        <v>48</v>
      </c>
      <c r="E66" s="44">
        <f t="shared" si="3"/>
        <v>1.9E-2</v>
      </c>
      <c r="F66" s="47">
        <f t="shared" si="4"/>
        <v>68.399999999999991</v>
      </c>
      <c r="G66" s="46">
        <v>19</v>
      </c>
      <c r="H66" s="30">
        <v>17.2</v>
      </c>
      <c r="I66" s="28"/>
      <c r="K66" s="5">
        <f t="shared" si="0"/>
        <v>2.0003158393430542</v>
      </c>
      <c r="L66" s="11">
        <f t="shared" si="5"/>
        <v>218548.61176771548</v>
      </c>
      <c r="M66" s="52">
        <f t="shared" si="6"/>
        <v>9.7147072409446307E-17</v>
      </c>
      <c r="N66" s="48">
        <f t="shared" si="7"/>
        <v>1.4078774265673985E-2</v>
      </c>
      <c r="O66" s="5">
        <f t="shared" si="8"/>
        <v>0.99999999999999922</v>
      </c>
      <c r="P66" s="48">
        <f t="shared" si="9"/>
        <v>0.94326083467883248</v>
      </c>
      <c r="Q66" s="48">
        <f t="shared" si="10"/>
        <v>3.5800341334698983E-2</v>
      </c>
      <c r="R66" s="48">
        <f t="shared" si="11"/>
        <v>3.3769059849155243E-2</v>
      </c>
      <c r="S66" s="31">
        <f t="shared" si="12"/>
        <v>0.37564332820669888</v>
      </c>
      <c r="T66" s="31">
        <f t="shared" si="13"/>
        <v>0.68931042227768968</v>
      </c>
      <c r="U66" s="5">
        <f t="shared" si="1"/>
        <v>0.74703153259416533</v>
      </c>
      <c r="V66" s="11">
        <f t="shared" si="14"/>
        <v>133557.48496915944</v>
      </c>
      <c r="W66" s="52">
        <f t="shared" si="15"/>
        <v>6.0816329453940491E-15</v>
      </c>
      <c r="X66" s="48">
        <f t="shared" si="16"/>
        <v>0.16383223967872892</v>
      </c>
      <c r="Y66" s="5">
        <f t="shared" si="17"/>
        <v>0.99999999999995348</v>
      </c>
      <c r="Z66" s="48">
        <f t="shared" si="18"/>
        <v>0.5147015990357231</v>
      </c>
      <c r="AA66" s="48">
        <f t="shared" si="19"/>
        <v>4.6552625209908244E-2</v>
      </c>
      <c r="AB66" s="48">
        <f t="shared" si="20"/>
        <v>2.3960710634849371E-2</v>
      </c>
      <c r="AC66" s="31">
        <f t="shared" si="2"/>
        <v>9.4655545547713924</v>
      </c>
      <c r="AD66" s="31">
        <f t="shared" si="21"/>
        <v>0</v>
      </c>
      <c r="AE66" s="31">
        <f t="shared" si="22"/>
        <v>10.530508305255781</v>
      </c>
    </row>
    <row r="67" spans="2:31" x14ac:dyDescent="0.25">
      <c r="B67" s="41"/>
      <c r="C67" t="s">
        <v>79</v>
      </c>
      <c r="D67" t="s">
        <v>48</v>
      </c>
      <c r="E67" s="44">
        <f t="shared" si="3"/>
        <v>0.02</v>
      </c>
      <c r="F67" s="47">
        <f t="shared" si="4"/>
        <v>72</v>
      </c>
      <c r="G67" s="46">
        <v>20</v>
      </c>
      <c r="H67" s="30">
        <v>16.600000000000001</v>
      </c>
      <c r="I67" s="28"/>
      <c r="K67" s="5">
        <f t="shared" si="0"/>
        <v>2.1055956203611097</v>
      </c>
      <c r="L67" s="11">
        <f t="shared" si="5"/>
        <v>230051.17028180577</v>
      </c>
      <c r="M67" s="52">
        <f t="shared" si="6"/>
        <v>6.3140497838026637E-17</v>
      </c>
      <c r="N67" s="48">
        <f t="shared" si="7"/>
        <v>1.2853071315621294E-2</v>
      </c>
      <c r="O67" s="5">
        <f t="shared" si="8"/>
        <v>0.99999999999999944</v>
      </c>
      <c r="P67" s="48">
        <f t="shared" si="9"/>
        <v>0.94795243100819238</v>
      </c>
      <c r="Q67" s="48">
        <f t="shared" si="10"/>
        <v>3.5652447710009055E-2</v>
      </c>
      <c r="R67" s="48">
        <f t="shared" si="11"/>
        <v>3.3796824478095525E-2</v>
      </c>
      <c r="S67" s="31">
        <f t="shared" si="12"/>
        <v>0.41656751124899871</v>
      </c>
      <c r="T67" s="31">
        <f t="shared" si="13"/>
        <v>0.76377886124951755</v>
      </c>
      <c r="U67" s="5">
        <f t="shared" si="1"/>
        <v>0.78634898167806877</v>
      </c>
      <c r="V67" s="11">
        <f t="shared" si="14"/>
        <v>140586.82628332576</v>
      </c>
      <c r="W67" s="52">
        <f t="shared" si="15"/>
        <v>3.952742190952391E-15</v>
      </c>
      <c r="X67" s="48">
        <f t="shared" si="16"/>
        <v>0.15157331790999823</v>
      </c>
      <c r="Y67" s="5">
        <f t="shared" si="17"/>
        <v>0.99999999999996958</v>
      </c>
      <c r="Z67" s="48">
        <f t="shared" si="18"/>
        <v>0.54009874762292209</v>
      </c>
      <c r="AA67" s="48">
        <f t="shared" si="19"/>
        <v>4.4505647059549E-2</v>
      </c>
      <c r="AB67" s="48">
        <f t="shared" si="20"/>
        <v>2.403744423900947E-2</v>
      </c>
      <c r="AC67" s="31">
        <f t="shared" si="2"/>
        <v>10.521737138400516</v>
      </c>
      <c r="AD67" s="31">
        <f t="shared" si="21"/>
        <v>0</v>
      </c>
      <c r="AE67" s="31">
        <f t="shared" si="22"/>
        <v>11.702083510899032</v>
      </c>
    </row>
    <row r="68" spans="2:31" x14ac:dyDescent="0.25">
      <c r="C68" t="s">
        <v>80</v>
      </c>
      <c r="D68" t="s">
        <v>48</v>
      </c>
      <c r="E68" s="44">
        <f t="shared" si="3"/>
        <v>0</v>
      </c>
      <c r="F68" s="48"/>
      <c r="G68" s="46"/>
      <c r="H68" s="30"/>
      <c r="K68" s="5">
        <f t="shared" si="0"/>
        <v>0</v>
      </c>
      <c r="L68" s="11">
        <f t="shared" si="5"/>
        <v>0</v>
      </c>
      <c r="M68" s="52">
        <f t="shared" si="6"/>
        <v>1</v>
      </c>
      <c r="N68" s="48">
        <f t="shared" si="7"/>
        <v>1</v>
      </c>
      <c r="O68" s="5" t="e">
        <f t="shared" si="8"/>
        <v>#DIV/0!</v>
      </c>
      <c r="P68" s="48" t="e">
        <f t="shared" si="9"/>
        <v>#NUM!</v>
      </c>
      <c r="Q68" s="48">
        <f t="shared" si="10"/>
        <v>1</v>
      </c>
      <c r="R68" s="48" t="e">
        <f t="shared" si="11"/>
        <v>#DIV/0!</v>
      </c>
      <c r="S68" s="31" t="e">
        <f t="shared" si="12"/>
        <v>#DIV/0!</v>
      </c>
      <c r="T68" s="31">
        <f t="shared" si="13"/>
        <v>0</v>
      </c>
      <c r="U68" s="5">
        <f t="shared" si="1"/>
        <v>0</v>
      </c>
      <c r="V68" s="11">
        <f t="shared" si="14"/>
        <v>0</v>
      </c>
      <c r="W68" s="52">
        <f t="shared" si="15"/>
        <v>1</v>
      </c>
      <c r="X68" s="48">
        <f t="shared" si="16"/>
        <v>1</v>
      </c>
      <c r="Y68" s="5" t="e">
        <f t="shared" si="17"/>
        <v>#DIV/0!</v>
      </c>
      <c r="Z68" s="48" t="e">
        <f t="shared" si="18"/>
        <v>#NUM!</v>
      </c>
      <c r="AA68" s="48">
        <f t="shared" si="19"/>
        <v>1</v>
      </c>
      <c r="AB68" s="48" t="e">
        <f t="shared" si="20"/>
        <v>#DIV/0!</v>
      </c>
      <c r="AC68" s="31" t="e">
        <f t="shared" si="2"/>
        <v>#DIV/0!</v>
      </c>
      <c r="AD68" s="31">
        <f t="shared" si="21"/>
        <v>0</v>
      </c>
      <c r="AE68" s="31" t="e">
        <f t="shared" si="22"/>
        <v>#DIV/0!</v>
      </c>
    </row>
    <row r="69" spans="2:31" x14ac:dyDescent="0.25">
      <c r="C69" t="s">
        <v>81</v>
      </c>
      <c r="D69" t="s">
        <v>48</v>
      </c>
      <c r="E69" s="44">
        <f t="shared" si="3"/>
        <v>0</v>
      </c>
      <c r="F69" s="48"/>
      <c r="G69" s="46"/>
      <c r="H69" s="30"/>
      <c r="K69" s="5">
        <f t="shared" si="0"/>
        <v>0</v>
      </c>
      <c r="L69" s="11">
        <f t="shared" si="5"/>
        <v>0</v>
      </c>
      <c r="M69" s="52">
        <f t="shared" si="6"/>
        <v>1</v>
      </c>
      <c r="N69" s="48">
        <f t="shared" si="7"/>
        <v>1</v>
      </c>
      <c r="O69" s="5" t="e">
        <f t="shared" si="8"/>
        <v>#DIV/0!</v>
      </c>
      <c r="P69" s="48" t="e">
        <f t="shared" si="9"/>
        <v>#NUM!</v>
      </c>
      <c r="Q69" s="48">
        <f t="shared" si="10"/>
        <v>1</v>
      </c>
      <c r="R69" s="48" t="e">
        <f t="shared" si="11"/>
        <v>#DIV/0!</v>
      </c>
      <c r="S69" s="31" t="e">
        <f t="shared" si="12"/>
        <v>#DIV/0!</v>
      </c>
      <c r="T69" s="31">
        <f t="shared" si="13"/>
        <v>0</v>
      </c>
      <c r="U69" s="5">
        <f t="shared" si="1"/>
        <v>0</v>
      </c>
      <c r="V69" s="11">
        <f t="shared" si="14"/>
        <v>0</v>
      </c>
      <c r="W69" s="52">
        <f t="shared" si="15"/>
        <v>1</v>
      </c>
      <c r="X69" s="48">
        <f t="shared" si="16"/>
        <v>1</v>
      </c>
      <c r="Y69" s="5" t="e">
        <f t="shared" si="17"/>
        <v>#DIV/0!</v>
      </c>
      <c r="Z69" s="48" t="e">
        <f t="shared" si="18"/>
        <v>#NUM!</v>
      </c>
      <c r="AA69" s="48">
        <f t="shared" si="19"/>
        <v>1</v>
      </c>
      <c r="AB69" s="48" t="e">
        <f t="shared" si="20"/>
        <v>#DIV/0!</v>
      </c>
      <c r="AC69" s="31" t="e">
        <f t="shared" si="2"/>
        <v>#DIV/0!</v>
      </c>
      <c r="AD69" s="31">
        <f t="shared" si="21"/>
        <v>0</v>
      </c>
      <c r="AE69" s="31" t="e">
        <f t="shared" si="22"/>
        <v>#DIV/0!</v>
      </c>
    </row>
    <row r="70" spans="2:31" x14ac:dyDescent="0.25">
      <c r="C70" t="s">
        <v>82</v>
      </c>
      <c r="D70" t="s">
        <v>48</v>
      </c>
      <c r="E70" s="44">
        <f t="shared" si="3"/>
        <v>0</v>
      </c>
      <c r="F70" s="48"/>
      <c r="G70" s="46"/>
      <c r="H70" s="30"/>
      <c r="K70" s="5">
        <f t="shared" si="0"/>
        <v>0</v>
      </c>
      <c r="L70" s="11">
        <f t="shared" si="5"/>
        <v>0</v>
      </c>
      <c r="M70" s="52">
        <f t="shared" si="6"/>
        <v>1</v>
      </c>
      <c r="N70" s="48">
        <f t="shared" si="7"/>
        <v>1</v>
      </c>
      <c r="O70" s="5" t="e">
        <f t="shared" si="8"/>
        <v>#DIV/0!</v>
      </c>
      <c r="P70" s="48" t="e">
        <f t="shared" si="9"/>
        <v>#NUM!</v>
      </c>
      <c r="Q70" s="48">
        <f t="shared" si="10"/>
        <v>1</v>
      </c>
      <c r="R70" s="48" t="e">
        <f t="shared" si="11"/>
        <v>#DIV/0!</v>
      </c>
      <c r="S70" s="31" t="e">
        <f t="shared" si="12"/>
        <v>#DIV/0!</v>
      </c>
      <c r="T70" s="31">
        <f t="shared" si="13"/>
        <v>0</v>
      </c>
      <c r="U70" s="5">
        <f t="shared" si="1"/>
        <v>0</v>
      </c>
      <c r="V70" s="11">
        <f t="shared" si="14"/>
        <v>0</v>
      </c>
      <c r="W70" s="52">
        <f t="shared" si="15"/>
        <v>1</v>
      </c>
      <c r="X70" s="48">
        <f t="shared" si="16"/>
        <v>1</v>
      </c>
      <c r="Y70" s="5" t="e">
        <f t="shared" si="17"/>
        <v>#DIV/0!</v>
      </c>
      <c r="Z70" s="48" t="e">
        <f t="shared" si="18"/>
        <v>#NUM!</v>
      </c>
      <c r="AA70" s="48">
        <f t="shared" si="19"/>
        <v>1</v>
      </c>
      <c r="AB70" s="48" t="e">
        <f t="shared" si="20"/>
        <v>#DIV/0!</v>
      </c>
      <c r="AC70" s="31" t="e">
        <f t="shared" si="2"/>
        <v>#DIV/0!</v>
      </c>
      <c r="AD70" s="31">
        <f t="shared" si="21"/>
        <v>0</v>
      </c>
      <c r="AE70" s="31" t="e">
        <f t="shared" si="22"/>
        <v>#DIV/0!</v>
      </c>
    </row>
    <row r="71" spans="2:31" x14ac:dyDescent="0.25">
      <c r="C71" t="s">
        <v>83</v>
      </c>
      <c r="D71" t="s">
        <v>48</v>
      </c>
      <c r="E71" s="44">
        <f t="shared" si="3"/>
        <v>0</v>
      </c>
      <c r="F71" s="48"/>
      <c r="G71" s="46"/>
      <c r="H71" s="30"/>
      <c r="K71" s="5">
        <f t="shared" si="0"/>
        <v>0</v>
      </c>
      <c r="L71" s="11">
        <f t="shared" si="5"/>
        <v>0</v>
      </c>
      <c r="M71" s="52">
        <f t="shared" si="6"/>
        <v>1</v>
      </c>
      <c r="N71" s="48">
        <f t="shared" si="7"/>
        <v>1</v>
      </c>
      <c r="O71" s="5" t="e">
        <f t="shared" si="8"/>
        <v>#DIV/0!</v>
      </c>
      <c r="P71" s="48" t="e">
        <f t="shared" si="9"/>
        <v>#NUM!</v>
      </c>
      <c r="Q71" s="48">
        <f t="shared" si="10"/>
        <v>1</v>
      </c>
      <c r="R71" s="48" t="e">
        <f t="shared" si="11"/>
        <v>#DIV/0!</v>
      </c>
      <c r="S71" s="31" t="e">
        <f t="shared" si="12"/>
        <v>#DIV/0!</v>
      </c>
      <c r="T71" s="31">
        <f t="shared" si="13"/>
        <v>0</v>
      </c>
      <c r="U71" s="5">
        <f t="shared" si="1"/>
        <v>0</v>
      </c>
      <c r="V71" s="11">
        <f t="shared" si="14"/>
        <v>0</v>
      </c>
      <c r="W71" s="52">
        <f t="shared" si="15"/>
        <v>1</v>
      </c>
      <c r="X71" s="48">
        <f t="shared" si="16"/>
        <v>1</v>
      </c>
      <c r="Y71" s="5" t="e">
        <f t="shared" si="17"/>
        <v>#DIV/0!</v>
      </c>
      <c r="Z71" s="48" t="e">
        <f t="shared" si="18"/>
        <v>#NUM!</v>
      </c>
      <c r="AA71" s="48">
        <f t="shared" si="19"/>
        <v>1</v>
      </c>
      <c r="AB71" s="48" t="e">
        <f t="shared" si="20"/>
        <v>#DIV/0!</v>
      </c>
      <c r="AC71" s="31" t="e">
        <f t="shared" si="2"/>
        <v>#DIV/0!</v>
      </c>
      <c r="AD71" s="31">
        <f t="shared" si="21"/>
        <v>0</v>
      </c>
      <c r="AE71" s="31" t="e">
        <f t="shared" si="22"/>
        <v>#DIV/0!</v>
      </c>
    </row>
    <row r="72" spans="2:31" x14ac:dyDescent="0.25">
      <c r="C72" t="s">
        <v>84</v>
      </c>
      <c r="D72" t="s">
        <v>48</v>
      </c>
      <c r="E72" s="44">
        <f t="shared" si="3"/>
        <v>0</v>
      </c>
      <c r="F72" s="48"/>
      <c r="G72" s="46"/>
      <c r="H72" s="30"/>
      <c r="K72" s="5">
        <f t="shared" si="0"/>
        <v>0</v>
      </c>
      <c r="L72" s="11">
        <f t="shared" si="5"/>
        <v>0</v>
      </c>
      <c r="M72" s="52">
        <f t="shared" si="6"/>
        <v>1</v>
      </c>
      <c r="N72" s="48">
        <f t="shared" si="7"/>
        <v>1</v>
      </c>
      <c r="O72" s="5" t="e">
        <f t="shared" si="8"/>
        <v>#DIV/0!</v>
      </c>
      <c r="P72" s="48" t="e">
        <f t="shared" si="9"/>
        <v>#NUM!</v>
      </c>
      <c r="Q72" s="48">
        <f t="shared" si="10"/>
        <v>1</v>
      </c>
      <c r="R72" s="48" t="e">
        <f t="shared" si="11"/>
        <v>#DIV/0!</v>
      </c>
      <c r="S72" s="31" t="e">
        <f t="shared" si="12"/>
        <v>#DIV/0!</v>
      </c>
      <c r="T72" s="31">
        <f t="shared" si="13"/>
        <v>0</v>
      </c>
      <c r="U72" s="5">
        <f t="shared" si="1"/>
        <v>0</v>
      </c>
      <c r="V72" s="11">
        <f t="shared" si="14"/>
        <v>0</v>
      </c>
      <c r="W72" s="52">
        <f t="shared" si="15"/>
        <v>1</v>
      </c>
      <c r="X72" s="48">
        <f t="shared" si="16"/>
        <v>1</v>
      </c>
      <c r="Y72" s="5" t="e">
        <f t="shared" si="17"/>
        <v>#DIV/0!</v>
      </c>
      <c r="Z72" s="48" t="e">
        <f t="shared" si="18"/>
        <v>#NUM!</v>
      </c>
      <c r="AA72" s="48">
        <f t="shared" si="19"/>
        <v>1</v>
      </c>
      <c r="AB72" s="48" t="e">
        <f t="shared" si="20"/>
        <v>#DIV/0!</v>
      </c>
      <c r="AC72" s="31" t="e">
        <f t="shared" si="2"/>
        <v>#DIV/0!</v>
      </c>
      <c r="AD72" s="31">
        <f t="shared" si="21"/>
        <v>0</v>
      </c>
      <c r="AE72" s="31" t="e">
        <f t="shared" si="22"/>
        <v>#DIV/0!</v>
      </c>
    </row>
    <row r="73" spans="2:31" x14ac:dyDescent="0.25">
      <c r="C73" t="s">
        <v>85</v>
      </c>
      <c r="D73" t="s">
        <v>48</v>
      </c>
      <c r="E73" s="44">
        <f t="shared" si="3"/>
        <v>0</v>
      </c>
      <c r="F73" s="48"/>
      <c r="G73" s="46"/>
      <c r="H73" s="30"/>
      <c r="K73" s="5">
        <f t="shared" si="0"/>
        <v>0</v>
      </c>
      <c r="L73" s="11">
        <f t="shared" si="5"/>
        <v>0</v>
      </c>
      <c r="M73" s="52">
        <f t="shared" si="6"/>
        <v>1</v>
      </c>
      <c r="N73" s="48">
        <f t="shared" si="7"/>
        <v>1</v>
      </c>
      <c r="O73" s="5" t="e">
        <f t="shared" si="8"/>
        <v>#DIV/0!</v>
      </c>
      <c r="P73" s="48" t="e">
        <f t="shared" si="9"/>
        <v>#NUM!</v>
      </c>
      <c r="Q73" s="48">
        <f t="shared" si="10"/>
        <v>1</v>
      </c>
      <c r="R73" s="48" t="e">
        <f t="shared" si="11"/>
        <v>#DIV/0!</v>
      </c>
      <c r="S73" s="31" t="e">
        <f t="shared" si="12"/>
        <v>#DIV/0!</v>
      </c>
      <c r="T73" s="31">
        <f t="shared" si="13"/>
        <v>0</v>
      </c>
      <c r="U73" s="5">
        <f t="shared" si="1"/>
        <v>0</v>
      </c>
      <c r="V73" s="11">
        <f t="shared" si="14"/>
        <v>0</v>
      </c>
      <c r="W73" s="52">
        <f t="shared" si="15"/>
        <v>1</v>
      </c>
      <c r="X73" s="48">
        <f t="shared" si="16"/>
        <v>1</v>
      </c>
      <c r="Y73" s="5" t="e">
        <f t="shared" si="17"/>
        <v>#DIV/0!</v>
      </c>
      <c r="Z73" s="48" t="e">
        <f t="shared" si="18"/>
        <v>#NUM!</v>
      </c>
      <c r="AA73" s="48">
        <f t="shared" si="19"/>
        <v>1</v>
      </c>
      <c r="AB73" s="48" t="e">
        <f t="shared" si="20"/>
        <v>#DIV/0!</v>
      </c>
      <c r="AC73" s="31" t="e">
        <f t="shared" si="2"/>
        <v>#DIV/0!</v>
      </c>
      <c r="AD73" s="31">
        <f t="shared" si="21"/>
        <v>0</v>
      </c>
      <c r="AE73" s="31" t="e">
        <f t="shared" si="22"/>
        <v>#DIV/0!</v>
      </c>
    </row>
    <row r="74" spans="2:31" x14ac:dyDescent="0.25">
      <c r="B74" t="s">
        <v>104</v>
      </c>
      <c r="E74" s="32">
        <f>INDEX(LINEST($H$59:$H$67, $E$59:$E$67^TRANSPOSE({1;2;3})),1)</f>
        <v>-6649831.64983154</v>
      </c>
      <c r="F74" s="32">
        <f>INDEX(LINEST($H$59:$H$67, $E$59:$E$67^TRANSPOSE({1;2;3})),1,2)</f>
        <v>301551.22655122157</v>
      </c>
      <c r="G74" s="32">
        <f>INDEX(LINEST($H$59:$H$67, $E$59:$E$67^TRANSPOSE({1;2;3})),1,3)</f>
        <v>-4812.4338624337906</v>
      </c>
      <c r="H74" s="32">
        <f>INDEX(LINEST($H$59:$H$67, $E$59:$E$67^TRANSPOSE({1;2;3})),1,4)</f>
        <v>45.412698412698091</v>
      </c>
      <c r="I74" t="s">
        <v>105</v>
      </c>
      <c r="K74" s="32">
        <f>INDEX(LINEST($AE$59:$AE$67, $E$59:$E$67^TRANSPOSE({1;2})),1)</f>
        <v>31578.499664673447</v>
      </c>
      <c r="L74" s="32">
        <f>INDEX(LINEST($AE$59:$AE$67, $E$59:$E$67^TRANSPOSE({1;2})),1,2)</f>
        <v>-59.838786284548874</v>
      </c>
      <c r="M74" s="32">
        <f>INDEX(LINEST($AE$59:$AE$67, $E$59:$E$67^TRANSPOSE({1;2})),1,3)</f>
        <v>0.26754525623977088</v>
      </c>
      <c r="N74" s="51"/>
      <c r="O74" s="51"/>
      <c r="P74" s="51"/>
      <c r="Q74" s="51"/>
    </row>
    <row r="75" spans="2:31" x14ac:dyDescent="0.25">
      <c r="E75" s="7" t="s">
        <v>151</v>
      </c>
      <c r="F75" t="s">
        <v>148</v>
      </c>
      <c r="G75" t="s">
        <v>150</v>
      </c>
      <c r="H75" t="s">
        <v>149</v>
      </c>
      <c r="K75" t="s">
        <v>148</v>
      </c>
      <c r="L75" t="s">
        <v>150</v>
      </c>
      <c r="M75" t="s">
        <v>149</v>
      </c>
      <c r="N75" s="50"/>
      <c r="O75" s="50"/>
      <c r="P75" s="50"/>
      <c r="Q75" s="50"/>
      <c r="R75" s="50"/>
      <c r="S75" s="50"/>
    </row>
    <row r="76" spans="2:31" ht="33.75" x14ac:dyDescent="0.5">
      <c r="B76" s="1" t="s">
        <v>86</v>
      </c>
      <c r="K76">
        <v>11</v>
      </c>
      <c r="L76">
        <v>12</v>
      </c>
      <c r="M76">
        <v>13</v>
      </c>
      <c r="N76">
        <v>14</v>
      </c>
      <c r="O76">
        <v>15</v>
      </c>
      <c r="P76">
        <v>16</v>
      </c>
      <c r="Q76">
        <v>17</v>
      </c>
      <c r="R76">
        <v>18</v>
      </c>
      <c r="S76">
        <v>19</v>
      </c>
      <c r="T76">
        <v>20</v>
      </c>
      <c r="U76">
        <v>21</v>
      </c>
      <c r="V76">
        <v>22</v>
      </c>
      <c r="W76">
        <v>23</v>
      </c>
      <c r="X76">
        <v>24</v>
      </c>
      <c r="Y76">
        <v>25</v>
      </c>
    </row>
    <row r="77" spans="2:31" x14ac:dyDescent="0.25">
      <c r="B77" t="s">
        <v>88</v>
      </c>
      <c r="C77" s="2" t="s">
        <v>89</v>
      </c>
      <c r="D77" t="s">
        <v>23</v>
      </c>
      <c r="E77" s="9">
        <f>3.14*(POWER(E17/2, 2))</f>
        <v>3.14</v>
      </c>
      <c r="F77" t="s">
        <v>90</v>
      </c>
      <c r="I77" s="60" t="s">
        <v>100</v>
      </c>
      <c r="J77" t="s">
        <v>101</v>
      </c>
      <c r="K77" s="5">
        <f>E82+E81</f>
        <v>94.741082802547766</v>
      </c>
      <c r="L77" s="5">
        <f>K77+$E$83</f>
        <v>94.84108280254776</v>
      </c>
      <c r="M77" s="5">
        <f>L77+$E$83</f>
        <v>94.941082802547754</v>
      </c>
      <c r="N77" s="5">
        <f t="shared" ref="N77:R77" si="23">M77+$E$83</f>
        <v>95.041082802547749</v>
      </c>
      <c r="O77" s="5">
        <f t="shared" si="23"/>
        <v>95.141082802547743</v>
      </c>
      <c r="P77" s="5">
        <f t="shared" si="23"/>
        <v>95.241082802547737</v>
      </c>
      <c r="Q77" s="5">
        <f t="shared" si="23"/>
        <v>95.341082802547731</v>
      </c>
      <c r="R77" s="5">
        <f t="shared" si="23"/>
        <v>95.441082802547726</v>
      </c>
      <c r="S77" s="5">
        <f>R77+$E$83</f>
        <v>95.54108280254772</v>
      </c>
      <c r="T77" s="5">
        <f t="shared" ref="T77:U77" si="24">S77+$E$83</f>
        <v>95.641082802547714</v>
      </c>
      <c r="U77" s="5">
        <f t="shared" si="24"/>
        <v>95.741082802547709</v>
      </c>
      <c r="V77" s="5">
        <f t="shared" ref="V77:Y77" si="25">U77+$E$83</f>
        <v>95.841082802547703</v>
      </c>
      <c r="W77" s="5">
        <f t="shared" si="25"/>
        <v>95.941082802547697</v>
      </c>
      <c r="X77" s="5">
        <f t="shared" si="25"/>
        <v>96.041082802547692</v>
      </c>
      <c r="Y77" s="5">
        <f t="shared" si="25"/>
        <v>96.141082802547686</v>
      </c>
    </row>
    <row r="78" spans="2:31" x14ac:dyDescent="0.25">
      <c r="B78" t="s">
        <v>87</v>
      </c>
      <c r="C78" s="2" t="s">
        <v>91</v>
      </c>
      <c r="D78" t="s">
        <v>23</v>
      </c>
      <c r="E78" s="9">
        <f>(G25/1000)*G15/4</f>
        <v>3.3249999999999997</v>
      </c>
      <c r="F78" t="s">
        <v>92</v>
      </c>
      <c r="I78" s="60"/>
      <c r="J78" t="s">
        <v>103</v>
      </c>
      <c r="K78" s="5">
        <f>$E$14-K77</f>
        <v>10.258917197452234</v>
      </c>
      <c r="L78" s="5">
        <f>$E$14-L77</f>
        <v>10.15891719745224</v>
      </c>
      <c r="M78" s="5">
        <f>$E$14-M77</f>
        <v>10.058917197452246</v>
      </c>
      <c r="N78" s="5">
        <f t="shared" ref="N78:R78" si="26">$E$14-N77</f>
        <v>9.9589171974522515</v>
      </c>
      <c r="O78" s="5">
        <f t="shared" si="26"/>
        <v>9.8589171974522571</v>
      </c>
      <c r="P78" s="5">
        <f t="shared" si="26"/>
        <v>9.7589171974522628</v>
      </c>
      <c r="Q78" s="5">
        <f t="shared" si="26"/>
        <v>9.6589171974522685</v>
      </c>
      <c r="R78" s="5">
        <f t="shared" si="26"/>
        <v>9.5589171974522742</v>
      </c>
      <c r="S78" s="5">
        <f>$E$14-S77</f>
        <v>9.4589171974522799</v>
      </c>
      <c r="T78" s="5">
        <f t="shared" ref="T78" si="27">$E$14-T77</f>
        <v>9.3589171974522856</v>
      </c>
      <c r="U78" s="5">
        <f t="shared" ref="U78" si="28">$E$14-U77</f>
        <v>9.2589171974522912</v>
      </c>
      <c r="V78" s="5">
        <f t="shared" ref="V78" si="29">$E$14-V77</f>
        <v>9.1589171974522969</v>
      </c>
      <c r="W78" s="5">
        <f t="shared" ref="W78:X78" si="30">$E$14-W77</f>
        <v>9.0589171974523026</v>
      </c>
      <c r="X78" s="5">
        <f t="shared" si="30"/>
        <v>8.9589171974523083</v>
      </c>
      <c r="Y78" s="5">
        <f t="shared" ref="Y78" si="31">$E$14-Y77</f>
        <v>8.858917197452314</v>
      </c>
    </row>
    <row r="79" spans="2:31" x14ac:dyDescent="0.25">
      <c r="B79" t="s">
        <v>93</v>
      </c>
      <c r="C79" s="2" t="s">
        <v>94</v>
      </c>
      <c r="D79" t="s">
        <v>23</v>
      </c>
      <c r="E79" s="9">
        <f>E78/E77</f>
        <v>1.0589171974522291</v>
      </c>
      <c r="F79" t="s">
        <v>19</v>
      </c>
      <c r="J79" t="s">
        <v>109</v>
      </c>
      <c r="K79" s="5">
        <f t="shared" ref="K79:Y79" si="32">K78+$M$74</f>
        <v>10.526462453692005</v>
      </c>
      <c r="L79" s="5">
        <f t="shared" si="32"/>
        <v>10.426462453692011</v>
      </c>
      <c r="M79" s="5">
        <f t="shared" si="32"/>
        <v>10.326462453692017</v>
      </c>
      <c r="N79" s="5">
        <f t="shared" si="32"/>
        <v>10.226462453692022</v>
      </c>
      <c r="O79" s="5">
        <f t="shared" si="32"/>
        <v>10.126462453692028</v>
      </c>
      <c r="P79" s="5">
        <f t="shared" si="32"/>
        <v>10.026462453692034</v>
      </c>
      <c r="Q79" s="5">
        <f t="shared" si="32"/>
        <v>9.9264624536920394</v>
      </c>
      <c r="R79" s="5">
        <f t="shared" si="32"/>
        <v>9.8264624536920451</v>
      </c>
      <c r="S79" s="5">
        <f t="shared" si="32"/>
        <v>9.7264624536920508</v>
      </c>
      <c r="T79" s="5">
        <f t="shared" si="32"/>
        <v>9.6264624536920564</v>
      </c>
      <c r="U79" s="5">
        <f t="shared" si="32"/>
        <v>9.5264624536920621</v>
      </c>
      <c r="V79" s="5">
        <f t="shared" si="32"/>
        <v>9.4264624536920678</v>
      </c>
      <c r="W79" s="5">
        <f t="shared" si="32"/>
        <v>9.3264624536920735</v>
      </c>
      <c r="X79" s="5">
        <f t="shared" si="32"/>
        <v>9.2264624536920792</v>
      </c>
      <c r="Y79" s="5">
        <f t="shared" si="32"/>
        <v>9.1264624536920849</v>
      </c>
    </row>
    <row r="80" spans="2:31" x14ac:dyDescent="0.25">
      <c r="B80" t="s">
        <v>95</v>
      </c>
      <c r="C80" s="2" t="s">
        <v>65</v>
      </c>
      <c r="D80" t="s">
        <v>23</v>
      </c>
      <c r="E80" s="9">
        <f>E28-E79</f>
        <v>94.741082802547766</v>
      </c>
      <c r="F80" t="s">
        <v>4</v>
      </c>
      <c r="J80" t="s">
        <v>110</v>
      </c>
      <c r="K80" s="31">
        <f>$E$74</f>
        <v>-6649831.64983154</v>
      </c>
      <c r="L80" s="31">
        <f t="shared" ref="L80:Y80" si="33">$E$74</f>
        <v>-6649831.64983154</v>
      </c>
      <c r="M80" s="31">
        <f t="shared" si="33"/>
        <v>-6649831.64983154</v>
      </c>
      <c r="N80" s="31">
        <f t="shared" si="33"/>
        <v>-6649831.64983154</v>
      </c>
      <c r="O80" s="31">
        <f t="shared" si="33"/>
        <v>-6649831.64983154</v>
      </c>
      <c r="P80" s="31">
        <f t="shared" si="33"/>
        <v>-6649831.64983154</v>
      </c>
      <c r="Q80" s="31">
        <f t="shared" si="33"/>
        <v>-6649831.64983154</v>
      </c>
      <c r="R80" s="31">
        <f t="shared" si="33"/>
        <v>-6649831.64983154</v>
      </c>
      <c r="S80" s="31">
        <f t="shared" si="33"/>
        <v>-6649831.64983154</v>
      </c>
      <c r="T80" s="31">
        <f t="shared" si="33"/>
        <v>-6649831.64983154</v>
      </c>
      <c r="U80" s="31">
        <f t="shared" si="33"/>
        <v>-6649831.64983154</v>
      </c>
      <c r="V80" s="31">
        <f t="shared" si="33"/>
        <v>-6649831.64983154</v>
      </c>
      <c r="W80" s="31">
        <f t="shared" si="33"/>
        <v>-6649831.64983154</v>
      </c>
      <c r="X80" s="31">
        <f t="shared" si="33"/>
        <v>-6649831.64983154</v>
      </c>
      <c r="Y80" s="31">
        <f t="shared" si="33"/>
        <v>-6649831.64983154</v>
      </c>
    </row>
    <row r="81" spans="2:25" x14ac:dyDescent="0.25">
      <c r="B81" t="s">
        <v>96</v>
      </c>
      <c r="C81" s="2" t="s">
        <v>97</v>
      </c>
      <c r="D81" t="s">
        <v>23</v>
      </c>
      <c r="E81" s="26">
        <v>0.3</v>
      </c>
      <c r="F81" t="s">
        <v>19</v>
      </c>
      <c r="J81" t="s">
        <v>111</v>
      </c>
      <c r="K81" s="31">
        <f t="shared" ref="K81:Y81" si="34">$F$74-$K$74</f>
        <v>269972.7268865481</v>
      </c>
      <c r="L81" s="31">
        <f t="shared" si="34"/>
        <v>269972.7268865481</v>
      </c>
      <c r="M81" s="31">
        <f t="shared" si="34"/>
        <v>269972.7268865481</v>
      </c>
      <c r="N81" s="31">
        <f t="shared" si="34"/>
        <v>269972.7268865481</v>
      </c>
      <c r="O81" s="31">
        <f t="shared" si="34"/>
        <v>269972.7268865481</v>
      </c>
      <c r="P81" s="31">
        <f t="shared" si="34"/>
        <v>269972.7268865481</v>
      </c>
      <c r="Q81" s="31">
        <f t="shared" si="34"/>
        <v>269972.7268865481</v>
      </c>
      <c r="R81" s="31">
        <f t="shared" si="34"/>
        <v>269972.7268865481</v>
      </c>
      <c r="S81" s="31">
        <f t="shared" si="34"/>
        <v>269972.7268865481</v>
      </c>
      <c r="T81" s="31">
        <f t="shared" si="34"/>
        <v>269972.7268865481</v>
      </c>
      <c r="U81" s="31">
        <f t="shared" si="34"/>
        <v>269972.7268865481</v>
      </c>
      <c r="V81" s="31">
        <f t="shared" si="34"/>
        <v>269972.7268865481</v>
      </c>
      <c r="W81" s="31">
        <f t="shared" si="34"/>
        <v>269972.7268865481</v>
      </c>
      <c r="X81" s="31">
        <f t="shared" si="34"/>
        <v>269972.7268865481</v>
      </c>
      <c r="Y81" s="31">
        <f t="shared" si="34"/>
        <v>269972.7268865481</v>
      </c>
    </row>
    <row r="82" spans="2:25" x14ac:dyDescent="0.25">
      <c r="B82" t="s">
        <v>98</v>
      </c>
      <c r="C82" s="2" t="s">
        <v>65</v>
      </c>
      <c r="D82" t="s">
        <v>23</v>
      </c>
      <c r="E82" s="9">
        <f>E80-E81</f>
        <v>94.441082802547768</v>
      </c>
      <c r="F82" t="s">
        <v>4</v>
      </c>
      <c r="J82" t="s">
        <v>112</v>
      </c>
      <c r="K82" s="31">
        <f t="shared" ref="K82:Y82" si="35">$G$74-$L$74</f>
        <v>-4752.5950761492413</v>
      </c>
      <c r="L82" s="31">
        <f t="shared" si="35"/>
        <v>-4752.5950761492413</v>
      </c>
      <c r="M82" s="31">
        <f t="shared" si="35"/>
        <v>-4752.5950761492413</v>
      </c>
      <c r="N82" s="31">
        <f t="shared" si="35"/>
        <v>-4752.5950761492413</v>
      </c>
      <c r="O82" s="31">
        <f t="shared" si="35"/>
        <v>-4752.5950761492413</v>
      </c>
      <c r="P82" s="31">
        <f t="shared" si="35"/>
        <v>-4752.5950761492413</v>
      </c>
      <c r="Q82" s="31">
        <f t="shared" si="35"/>
        <v>-4752.5950761492413</v>
      </c>
      <c r="R82" s="31">
        <f t="shared" si="35"/>
        <v>-4752.5950761492413</v>
      </c>
      <c r="S82" s="31">
        <f t="shared" si="35"/>
        <v>-4752.5950761492413</v>
      </c>
      <c r="T82" s="31">
        <f t="shared" si="35"/>
        <v>-4752.5950761492413</v>
      </c>
      <c r="U82" s="31">
        <f t="shared" si="35"/>
        <v>-4752.5950761492413</v>
      </c>
      <c r="V82" s="31">
        <f t="shared" si="35"/>
        <v>-4752.5950761492413</v>
      </c>
      <c r="W82" s="31">
        <f t="shared" si="35"/>
        <v>-4752.5950761492413</v>
      </c>
      <c r="X82" s="31">
        <f t="shared" si="35"/>
        <v>-4752.5950761492413</v>
      </c>
      <c r="Y82" s="31">
        <f t="shared" si="35"/>
        <v>-4752.5950761492413</v>
      </c>
    </row>
    <row r="83" spans="2:25" x14ac:dyDescent="0.25">
      <c r="B83" s="4" t="s">
        <v>102</v>
      </c>
      <c r="C83" s="29" t="s">
        <v>54</v>
      </c>
      <c r="D83" t="s">
        <v>23</v>
      </c>
      <c r="E83" s="26">
        <v>0.1</v>
      </c>
      <c r="F83" t="s">
        <v>19</v>
      </c>
      <c r="J83" t="s">
        <v>113</v>
      </c>
      <c r="K83" s="31">
        <f>$H$74-K79</f>
        <v>34.886235959006086</v>
      </c>
      <c r="L83" s="31">
        <f>$H$74-L79</f>
        <v>34.986235959006081</v>
      </c>
      <c r="M83" s="31">
        <f>$H$74-M79</f>
        <v>35.086235959006075</v>
      </c>
      <c r="N83" s="31">
        <f t="shared" ref="N83:R83" si="36">$H$74-N79</f>
        <v>35.186235959006069</v>
      </c>
      <c r="O83" s="31">
        <f t="shared" si="36"/>
        <v>35.286235959006063</v>
      </c>
      <c r="P83" s="31">
        <f t="shared" si="36"/>
        <v>35.386235959006058</v>
      </c>
      <c r="Q83" s="31">
        <f t="shared" si="36"/>
        <v>35.486235959006052</v>
      </c>
      <c r="R83" s="31">
        <f t="shared" si="36"/>
        <v>35.586235959006046</v>
      </c>
      <c r="S83" s="31">
        <f>$H$74-S79</f>
        <v>35.686235959006041</v>
      </c>
      <c r="T83" s="31">
        <f t="shared" ref="T83:U83" si="37">$H$74-T79</f>
        <v>35.786235959006035</v>
      </c>
      <c r="U83" s="31">
        <f t="shared" si="37"/>
        <v>35.886235959006029</v>
      </c>
      <c r="V83" s="31">
        <f t="shared" ref="V83:X83" si="38">$H$74-V79</f>
        <v>35.986235959006024</v>
      </c>
      <c r="W83" s="31">
        <f t="shared" si="38"/>
        <v>36.086235959006018</v>
      </c>
      <c r="X83" s="31">
        <f t="shared" si="38"/>
        <v>36.186235959006012</v>
      </c>
      <c r="Y83" s="31">
        <f t="shared" ref="Y83" si="39">$H$74-Y79</f>
        <v>36.286235959006007</v>
      </c>
    </row>
    <row r="84" spans="2:25" x14ac:dyDescent="0.25">
      <c r="J84" t="s">
        <v>114</v>
      </c>
      <c r="K84" s="31">
        <f>K80*POWER(K85, 3)+K81*POWER(K85, 2)+K82*K85+K83</f>
        <v>1.7824006795308378E-4</v>
      </c>
      <c r="L84" s="31">
        <f>L80*POWER(L85, 3)+L81*POWER(L85, 2)+L82*L85+L83</f>
        <v>1.640454901519206E-4</v>
      </c>
      <c r="M84" s="31">
        <f>M80*POWER(M85, 3)+M81*POWER(M85, 2)+M82*M85+M83</f>
        <v>1.4718304413463557E-4</v>
      </c>
      <c r="N84" s="31">
        <f t="shared" ref="N84:R84" si="40">N80*POWER(N85, 3)+N81*POWER(N85, 2)+N82*N85+N83</f>
        <v>1.2806954433131068E-4</v>
      </c>
      <c r="O84" s="31">
        <f t="shared" si="40"/>
        <v>1.0727532171017629E-4</v>
      </c>
      <c r="P84" s="31">
        <f t="shared" si="40"/>
        <v>8.5537582052097605E-5</v>
      </c>
      <c r="Q84" s="31">
        <f t="shared" si="40"/>
        <v>6.3773098446517906E-5</v>
      </c>
      <c r="R84" s="31">
        <f t="shared" si="40"/>
        <v>4.3090103233112131E-5</v>
      </c>
      <c r="S84" s="31">
        <f>S80*POWER(S85, 3)+S81*POWER(S85, 2)+S82*S85+S83</f>
        <v>2.4799255655238994E-5</v>
      </c>
      <c r="T84" s="31">
        <f t="shared" ref="T84" si="41">T80*POWER(T85, 3)+T81*POWER(T85, 2)+T82*T85+T83</f>
        <v>1.0423573137074982E-5</v>
      </c>
      <c r="U84" s="31">
        <f t="shared" ref="U84" si="42">U80*POWER(U85, 3)+U81*POWER(U85, 2)+U82*U85+U83</f>
        <v>1.7072271631946023E-6</v>
      </c>
      <c r="V84" s="31">
        <f t="shared" ref="V84" si="43">V80*POWER(V85, 3)+V81*POWER(V85, 2)+V82*V85+V83</f>
        <v>6.2311845283602452E-7</v>
      </c>
      <c r="W84" s="31">
        <f t="shared" ref="W84:X84" si="44">W80*POWER(W85, 3)+W81*POWER(W85, 2)+W82*W85+W83</f>
        <v>9.3791592448155825E-6</v>
      </c>
      <c r="X84" s="31">
        <f t="shared" si="44"/>
        <v>3.042320589230485E-5</v>
      </c>
      <c r="Y84" s="31">
        <f t="shared" ref="Y84" si="45">Y80*POWER(Y85, 3)+Y81*POWER(Y85, 2)+Y82*Y85+Y83</f>
        <v>6.6446598310676563E-5</v>
      </c>
    </row>
    <row r="85" spans="2:25" x14ac:dyDescent="0.25">
      <c r="J85" t="s">
        <v>131</v>
      </c>
      <c r="K85" s="40">
        <v>1.6575387303234823E-2</v>
      </c>
      <c r="L85" s="40">
        <v>1.6653005849644107E-2</v>
      </c>
      <c r="M85" s="40">
        <v>1.6730050862877335E-2</v>
      </c>
      <c r="N85" s="40">
        <v>1.6806520851167708E-2</v>
      </c>
      <c r="O85" s="40">
        <v>1.6882414768277381E-2</v>
      </c>
      <c r="P85" s="40">
        <v>1.6957731976866557E-2</v>
      </c>
      <c r="Q85" s="40">
        <v>1.7032472213289535E-2</v>
      </c>
      <c r="R85" s="40">
        <v>1.7106635553981567E-2</v>
      </c>
      <c r="S85" s="40">
        <v>1.71802223835694E-2</v>
      </c>
      <c r="T85" s="40">
        <v>1.7253233364808454E-2</v>
      </c>
      <c r="U85" s="40">
        <v>1.7325669410421862E-2</v>
      </c>
      <c r="V85" s="40">
        <v>1.7397531656890008E-2</v>
      </c>
      <c r="W85" s="40">
        <v>1.7468821440215762E-2</v>
      </c>
      <c r="X85" s="40">
        <v>1.7539540273667709E-2</v>
      </c>
      <c r="Y85" s="40">
        <v>1.7609689827484752E-2</v>
      </c>
    </row>
    <row r="86" spans="2:25" x14ac:dyDescent="0.25">
      <c r="B86" t="s">
        <v>172</v>
      </c>
      <c r="C86" s="2" t="s">
        <v>173</v>
      </c>
      <c r="D86" t="s">
        <v>23</v>
      </c>
      <c r="E86" s="9">
        <f t="array" ref="E86">MATCH(TRUE, L105:Y105&gt;G15, 0)</f>
        <v>8</v>
      </c>
      <c r="J86" t="s">
        <v>132</v>
      </c>
      <c r="K86" s="45">
        <f>K85*1000</f>
        <v>16.575387303234823</v>
      </c>
      <c r="L86" s="45">
        <f t="shared" ref="L86:Y86" si="46">L85*1000</f>
        <v>16.653005849644106</v>
      </c>
      <c r="M86" s="45">
        <f t="shared" si="46"/>
        <v>16.730050862877334</v>
      </c>
      <c r="N86" s="45">
        <f t="shared" si="46"/>
        <v>16.806520851167708</v>
      </c>
      <c r="O86" s="45">
        <f t="shared" si="46"/>
        <v>16.882414768277382</v>
      </c>
      <c r="P86" s="45">
        <f t="shared" si="46"/>
        <v>16.957731976866558</v>
      </c>
      <c r="Q86" s="45">
        <f t="shared" si="46"/>
        <v>17.032472213289534</v>
      </c>
      <c r="R86" s="45">
        <f t="shared" si="46"/>
        <v>17.106635553981569</v>
      </c>
      <c r="S86" s="45">
        <f t="shared" si="46"/>
        <v>17.180222383569401</v>
      </c>
      <c r="T86" s="45">
        <f t="shared" si="46"/>
        <v>17.253233364808455</v>
      </c>
      <c r="U86" s="45">
        <f t="shared" si="46"/>
        <v>17.325669410421863</v>
      </c>
      <c r="V86" s="45">
        <f t="shared" si="46"/>
        <v>17.39753165689001</v>
      </c>
      <c r="W86" s="45">
        <f t="shared" si="46"/>
        <v>17.468821440215763</v>
      </c>
      <c r="X86" s="45">
        <f t="shared" si="46"/>
        <v>17.539540273667708</v>
      </c>
      <c r="Y86" s="45">
        <f t="shared" si="46"/>
        <v>17.60968982748475</v>
      </c>
    </row>
    <row r="87" spans="2:25" x14ac:dyDescent="0.25">
      <c r="B87" t="s">
        <v>166</v>
      </c>
      <c r="C87" s="2" t="s">
        <v>16</v>
      </c>
      <c r="D87" t="s">
        <v>23</v>
      </c>
      <c r="E87" s="59">
        <f>INDEX(L105:Y105,E86)</f>
        <v>616.36663395761616</v>
      </c>
      <c r="F87" t="s">
        <v>10</v>
      </c>
      <c r="J87" t="s">
        <v>133</v>
      </c>
      <c r="K87" s="45">
        <f>K85*3600</f>
        <v>59.671394291645363</v>
      </c>
      <c r="L87" s="45">
        <f t="shared" ref="L87:Y87" si="47">L85*3600</f>
        <v>59.950821058718788</v>
      </c>
      <c r="M87" s="45">
        <f t="shared" si="47"/>
        <v>60.228183106358408</v>
      </c>
      <c r="N87" s="45">
        <f t="shared" si="47"/>
        <v>60.503475064203748</v>
      </c>
      <c r="O87" s="45">
        <f t="shared" si="47"/>
        <v>60.776693165798569</v>
      </c>
      <c r="P87" s="45">
        <f t="shared" si="47"/>
        <v>61.047835116719604</v>
      </c>
      <c r="Q87" s="45">
        <f t="shared" si="47"/>
        <v>61.316899967842325</v>
      </c>
      <c r="R87" s="45">
        <f t="shared" si="47"/>
        <v>61.583887994333644</v>
      </c>
      <c r="S87" s="45">
        <f t="shared" si="47"/>
        <v>61.84880058084984</v>
      </c>
      <c r="T87" s="45">
        <f t="shared" si="47"/>
        <v>62.111640113310436</v>
      </c>
      <c r="U87" s="45">
        <f t="shared" si="47"/>
        <v>62.372409877518699</v>
      </c>
      <c r="V87" s="45">
        <f t="shared" si="47"/>
        <v>62.63111396480403</v>
      </c>
      <c r="W87" s="45">
        <f t="shared" si="47"/>
        <v>62.887757184776746</v>
      </c>
      <c r="X87" s="45">
        <f t="shared" si="47"/>
        <v>63.142344985203756</v>
      </c>
      <c r="Y87" s="45">
        <f t="shared" si="47"/>
        <v>63.39488337894511</v>
      </c>
    </row>
    <row r="88" spans="2:25" x14ac:dyDescent="0.25">
      <c r="B88" t="s">
        <v>164</v>
      </c>
      <c r="C88" s="2" t="s">
        <v>165</v>
      </c>
      <c r="D88" t="s">
        <v>23</v>
      </c>
      <c r="E88" s="44">
        <f>INDEX(L85:Y85,E86)</f>
        <v>1.71802223835694E-2</v>
      </c>
      <c r="F88" t="s">
        <v>167</v>
      </c>
      <c r="J88" t="s">
        <v>115</v>
      </c>
      <c r="K88" s="5">
        <f>$E$74*POWER(K85, 3)+$F$74*POWER(K85, 2)+$G$74*K85+$H$74</f>
        <v>18.210776029098596</v>
      </c>
      <c r="L88" s="5">
        <f>$E$74*POWER(L85, 3)+$F$74*POWER(L85, 2)+$G$74*L85+$H$74</f>
        <v>18.187562593147703</v>
      </c>
      <c r="M88" s="5">
        <f>$E$74*POWER(M85, 3)+$F$74*POWER(M85, 2)+$G$74*M85+$H$74</f>
        <v>18.164155290059426</v>
      </c>
      <c r="N88" s="5">
        <f t="shared" ref="N88:R88" si="48">$E$74*POWER(N85, 3)+$F$74*POWER(N85, 2)+$G$74*N85+$H$74</f>
        <v>18.14054467015859</v>
      </c>
      <c r="O88" s="5">
        <f t="shared" si="48"/>
        <v>18.11672191939104</v>
      </c>
      <c r="P88" s="5">
        <f t="shared" si="48"/>
        <v>18.092678846781013</v>
      </c>
      <c r="Q88" s="5">
        <f t="shared" si="48"/>
        <v>18.068407871392282</v>
      </c>
      <c r="R88" s="5">
        <f t="shared" si="48"/>
        <v>18.04390200889965</v>
      </c>
      <c r="S88" s="5">
        <f>$E$74*POWER(S85, 3)+$F$74*POWER(S85, 2)+$G$74*S85+$H$74</f>
        <v>18.019154857861793</v>
      </c>
      <c r="T88" s="5">
        <f t="shared" ref="T88" si="49">$E$74*POWER(T85, 3)+$F$74*POWER(T85, 2)+$G$74*T85+$H$74</f>
        <v>17.994160585770878</v>
      </c>
      <c r="U88" s="5">
        <f t="shared" ref="U88" si="50">$E$74*POWER(U85, 3)+$F$74*POWER(U85, 2)+$G$74*U85+$H$74</f>
        <v>17.968913914940735</v>
      </c>
      <c r="V88" s="5">
        <f t="shared" ref="V88" si="51">$E$74*POWER(V85, 3)+$F$74*POWER(V85, 2)+$G$74*V85+$H$74</f>
        <v>17.943410108282549</v>
      </c>
      <c r="W88" s="5">
        <f t="shared" ref="W88:X88" si="52">$E$74*POWER(W85, 3)+$F$74*POWER(W85, 2)+$G$74*W85+$H$74</f>
        <v>17.917644955005663</v>
      </c>
      <c r="X88" s="5">
        <f t="shared" si="52"/>
        <v>17.891614756271558</v>
      </c>
      <c r="Y88" s="5">
        <f t="shared" ref="Y88" si="53">$E$74*POWER(Y85, 3)+$F$74*POWER(Y85, 2)+$G$74*Y85+$H$74</f>
        <v>17.865316310820006</v>
      </c>
    </row>
    <row r="89" spans="2:25" x14ac:dyDescent="0.25">
      <c r="E89" s="9">
        <f>E88*3600</f>
        <v>61.84880058084984</v>
      </c>
      <c r="F89" t="s">
        <v>40</v>
      </c>
      <c r="J89" t="s">
        <v>154</v>
      </c>
      <c r="K89" s="5">
        <f>K85/$G$35</f>
        <v>1.7450531455740195</v>
      </c>
      <c r="L89" s="5">
        <f t="shared" ref="L89:Y89" si="54">L85/$G$35</f>
        <v>1.7532248091429286</v>
      </c>
      <c r="M89" s="5">
        <f t="shared" si="54"/>
        <v>1.7613360912646561</v>
      </c>
      <c r="N89" s="5">
        <f t="shared" si="54"/>
        <v>1.7693868348863198</v>
      </c>
      <c r="O89" s="5">
        <f t="shared" si="54"/>
        <v>1.7773769298602287</v>
      </c>
      <c r="P89" s="5">
        <f t="shared" si="54"/>
        <v>1.7853063090873882</v>
      </c>
      <c r="Q89" s="5">
        <f t="shared" si="54"/>
        <v>1.7931749448112371</v>
      </c>
      <c r="R89" s="5">
        <f t="shared" si="54"/>
        <v>1.8009828450788616</v>
      </c>
      <c r="S89" s="5">
        <f t="shared" si="54"/>
        <v>1.8087300503836816</v>
      </c>
      <c r="T89" s="5">
        <f t="shared" si="54"/>
        <v>1.8164166305004426</v>
      </c>
      <c r="U89" s="5">
        <f t="shared" si="54"/>
        <v>1.824042681520436</v>
      </c>
      <c r="V89" s="5">
        <f t="shared" si="54"/>
        <v>1.8316083230920681</v>
      </c>
      <c r="W89" s="5">
        <f t="shared" si="54"/>
        <v>1.8391136958694281</v>
      </c>
      <c r="X89" s="5">
        <f t="shared" si="54"/>
        <v>1.8465589591691014</v>
      </c>
      <c r="Y89" s="5">
        <f t="shared" si="54"/>
        <v>1.8539442888334738</v>
      </c>
    </row>
    <row r="90" spans="2:25" x14ac:dyDescent="0.25">
      <c r="E90" s="9">
        <f>E88*1000</f>
        <v>17.180222383569401</v>
      </c>
      <c r="F90" t="s">
        <v>26</v>
      </c>
      <c r="J90" t="s">
        <v>155</v>
      </c>
      <c r="K90" s="5">
        <f>K85/$G$44</f>
        <v>0.65170194634091472</v>
      </c>
      <c r="L90" s="5">
        <f t="shared" ref="L90:Y90" si="55">L85/$G$44</f>
        <v>0.65475370958732826</v>
      </c>
      <c r="M90" s="5">
        <f t="shared" si="55"/>
        <v>0.65778292297229446</v>
      </c>
      <c r="N90" s="5">
        <f t="shared" si="55"/>
        <v>0.66078952784334788</v>
      </c>
      <c r="O90" s="5">
        <f t="shared" si="55"/>
        <v>0.66377348306508543</v>
      </c>
      <c r="P90" s="5">
        <f t="shared" si="55"/>
        <v>0.66673476357893202</v>
      </c>
      <c r="Q90" s="5">
        <f t="shared" si="55"/>
        <v>0.66967335901901137</v>
      </c>
      <c r="R90" s="5">
        <f t="shared" si="55"/>
        <v>0.67258927239056254</v>
      </c>
      <c r="S90" s="5">
        <f t="shared" si="55"/>
        <v>0.67548251881612809</v>
      </c>
      <c r="T90" s="5">
        <f t="shared" si="55"/>
        <v>0.67835312435356043</v>
      </c>
      <c r="U90" s="5">
        <f t="shared" si="55"/>
        <v>0.68120112488880491</v>
      </c>
      <c r="V90" s="5">
        <f t="shared" si="55"/>
        <v>0.68402656510537119</v>
      </c>
      <c r="W90" s="5">
        <f t="shared" si="55"/>
        <v>0.68682949753148392</v>
      </c>
      <c r="X90" s="5">
        <f t="shared" si="55"/>
        <v>0.68960998166500398</v>
      </c>
      <c r="Y90" s="5">
        <f t="shared" si="55"/>
        <v>0.69236808317546406</v>
      </c>
    </row>
    <row r="91" spans="2:25" x14ac:dyDescent="0.25">
      <c r="B91" t="s">
        <v>174</v>
      </c>
      <c r="C91" s="2" t="s">
        <v>175</v>
      </c>
      <c r="D91" t="s">
        <v>23</v>
      </c>
      <c r="E91" s="9">
        <f>INDEX(L77:Y77,E86)</f>
        <v>95.54108280254772</v>
      </c>
      <c r="J91" t="s">
        <v>153</v>
      </c>
    </row>
    <row r="92" spans="2:25" x14ac:dyDescent="0.25">
      <c r="J92" t="s">
        <v>116</v>
      </c>
      <c r="K92" s="28"/>
      <c r="L92" s="5">
        <f>(L77-K77)*$E$77</f>
        <v>0.31399999999998218</v>
      </c>
      <c r="M92" s="5">
        <f>(M77-L77)*$E$77</f>
        <v>0.31399999999998218</v>
      </c>
      <c r="N92" s="5">
        <f>(N77-M77)*$E$77</f>
        <v>0.31399999999998218</v>
      </c>
      <c r="O92" s="5">
        <f t="shared" ref="O92:X92" si="56">(O77-N77)*$E$77</f>
        <v>0.31399999999998218</v>
      </c>
      <c r="P92" s="5">
        <f t="shared" si="56"/>
        <v>0.31399999999998218</v>
      </c>
      <c r="Q92" s="5">
        <f t="shared" si="56"/>
        <v>0.31399999999998218</v>
      </c>
      <c r="R92" s="5">
        <f t="shared" si="56"/>
        <v>0.31399999999998218</v>
      </c>
      <c r="S92" s="5">
        <f t="shared" si="56"/>
        <v>0.31399999999998218</v>
      </c>
      <c r="T92" s="5">
        <f t="shared" si="56"/>
        <v>0.31399999999998218</v>
      </c>
      <c r="U92" s="5">
        <f t="shared" si="56"/>
        <v>0.31399999999998218</v>
      </c>
      <c r="V92" s="5">
        <f t="shared" si="56"/>
        <v>0.31399999999998218</v>
      </c>
      <c r="W92" s="5">
        <f t="shared" si="56"/>
        <v>0.31399999999998218</v>
      </c>
      <c r="X92" s="5">
        <f t="shared" si="56"/>
        <v>0.31399999999998218</v>
      </c>
      <c r="Y92" s="5">
        <f t="shared" ref="Y92" si="57">(Y77-X77)*$E$77</f>
        <v>0.31399999999998218</v>
      </c>
    </row>
    <row r="93" spans="2:25" x14ac:dyDescent="0.25">
      <c r="J93" t="s">
        <v>117</v>
      </c>
      <c r="L93" s="36">
        <f>AVERAGEA(L85,K85)</f>
        <v>1.6614196576439463E-2</v>
      </c>
      <c r="M93" s="36">
        <f t="shared" ref="M93:Y93" si="58">AVERAGEA(M85,L85)</f>
        <v>1.6691528356260719E-2</v>
      </c>
      <c r="N93" s="36">
        <f t="shared" si="58"/>
        <v>1.6768285857022523E-2</v>
      </c>
      <c r="O93" s="36">
        <f t="shared" si="58"/>
        <v>1.6844467809722544E-2</v>
      </c>
      <c r="P93" s="36">
        <f t="shared" si="58"/>
        <v>1.6920073372571967E-2</v>
      </c>
      <c r="Q93" s="36">
        <f t="shared" si="58"/>
        <v>1.6995102095078048E-2</v>
      </c>
      <c r="R93" s="36">
        <f t="shared" si="58"/>
        <v>1.7069553883635551E-2</v>
      </c>
      <c r="S93" s="36">
        <f t="shared" si="58"/>
        <v>1.7143428968775486E-2</v>
      </c>
      <c r="T93" s="36">
        <f t="shared" si="58"/>
        <v>1.7216727874188927E-2</v>
      </c>
      <c r="U93" s="36">
        <f t="shared" si="58"/>
        <v>1.728945138761516E-2</v>
      </c>
      <c r="V93" s="36">
        <f t="shared" si="58"/>
        <v>1.7361600533655937E-2</v>
      </c>
      <c r="W93" s="36">
        <f t="shared" si="58"/>
        <v>1.7433176548552885E-2</v>
      </c>
      <c r="X93" s="36">
        <f t="shared" si="58"/>
        <v>1.7504180856941734E-2</v>
      </c>
      <c r="Y93" s="36">
        <f t="shared" si="58"/>
        <v>1.7574615050576232E-2</v>
      </c>
    </row>
    <row r="94" spans="2:25" x14ac:dyDescent="0.25">
      <c r="J94" t="s">
        <v>118</v>
      </c>
      <c r="L94" s="5">
        <f t="shared" ref="L94:Y94" si="59">L92/L93</f>
        <v>18.899499506660739</v>
      </c>
      <c r="M94" s="5">
        <f t="shared" si="59"/>
        <v>18.811938205898677</v>
      </c>
      <c r="N94" s="5">
        <f t="shared" si="59"/>
        <v>18.725825804578566</v>
      </c>
      <c r="O94" s="5">
        <f t="shared" si="59"/>
        <v>18.64113509236207</v>
      </c>
      <c r="P94" s="5">
        <f t="shared" si="59"/>
        <v>18.557839146784506</v>
      </c>
      <c r="Q94" s="5">
        <f t="shared" si="59"/>
        <v>18.475911368071142</v>
      </c>
      <c r="R94" s="5">
        <f t="shared" si="59"/>
        <v>18.395325510001264</v>
      </c>
      <c r="S94" s="5">
        <f t="shared" si="59"/>
        <v>18.316055706935416</v>
      </c>
      <c r="T94" s="5">
        <f t="shared" si="59"/>
        <v>18.238076497144764</v>
      </c>
      <c r="U94" s="5">
        <f t="shared" si="59"/>
        <v>18.161362842600532</v>
      </c>
      <c r="V94" s="5">
        <f t="shared" si="59"/>
        <v>18.085890145397862</v>
      </c>
      <c r="W94" s="5">
        <f t="shared" si="59"/>
        <v>18.011634261000303</v>
      </c>
      <c r="X94" s="5">
        <f t="shared" si="59"/>
        <v>17.938571508500917</v>
      </c>
      <c r="Y94" s="5">
        <f t="shared" si="59"/>
        <v>17.866678678102076</v>
      </c>
    </row>
    <row r="95" spans="2:25" x14ac:dyDescent="0.25">
      <c r="J95" t="s">
        <v>120</v>
      </c>
      <c r="L95" s="5">
        <f t="shared" ref="L95:Y95" si="60">L92+K95</f>
        <v>0.31399999999998218</v>
      </c>
      <c r="M95" s="5">
        <f t="shared" si="60"/>
        <v>0.62799999999996436</v>
      </c>
      <c r="N95" s="5">
        <f t="shared" si="60"/>
        <v>0.94199999999994655</v>
      </c>
      <c r="O95" s="5">
        <f t="shared" si="60"/>
        <v>1.2559999999999287</v>
      </c>
      <c r="P95" s="5">
        <f t="shared" si="60"/>
        <v>1.569999999999911</v>
      </c>
      <c r="Q95" s="5">
        <f t="shared" si="60"/>
        <v>1.8839999999998933</v>
      </c>
      <c r="R95" s="5">
        <f t="shared" si="60"/>
        <v>2.1979999999998756</v>
      </c>
      <c r="S95" s="5">
        <f t="shared" si="60"/>
        <v>2.5119999999998579</v>
      </c>
      <c r="T95" s="5">
        <f t="shared" si="60"/>
        <v>2.8259999999998402</v>
      </c>
      <c r="U95" s="5">
        <f t="shared" si="60"/>
        <v>3.1399999999998225</v>
      </c>
      <c r="V95" s="5">
        <f t="shared" si="60"/>
        <v>3.4539999999998048</v>
      </c>
      <c r="W95" s="5">
        <f t="shared" si="60"/>
        <v>3.7679999999997871</v>
      </c>
      <c r="X95" s="5">
        <f t="shared" si="60"/>
        <v>4.0819999999997689</v>
      </c>
      <c r="Y95" s="5">
        <f t="shared" si="60"/>
        <v>4.3959999999997512</v>
      </c>
    </row>
    <row r="96" spans="2:25" x14ac:dyDescent="0.25">
      <c r="J96" t="s">
        <v>119</v>
      </c>
      <c r="L96" s="5">
        <f>L94+K96</f>
        <v>18.899499506660739</v>
      </c>
      <c r="M96" s="5">
        <f t="shared" ref="M96:N96" si="61">M94+L96</f>
        <v>37.711437712559416</v>
      </c>
      <c r="N96" s="5">
        <f t="shared" si="61"/>
        <v>56.437263517137978</v>
      </c>
      <c r="O96" s="5">
        <f t="shared" ref="O96:X96" si="62">O94+N96</f>
        <v>75.078398609500056</v>
      </c>
      <c r="P96" s="5">
        <f t="shared" si="62"/>
        <v>93.636237756284558</v>
      </c>
      <c r="Q96" s="5">
        <f t="shared" si="62"/>
        <v>112.1121491243557</v>
      </c>
      <c r="R96" s="5">
        <f t="shared" si="62"/>
        <v>130.50747463435695</v>
      </c>
      <c r="S96" s="5">
        <f t="shared" si="62"/>
        <v>148.82353034129238</v>
      </c>
      <c r="T96" s="5">
        <f t="shared" si="62"/>
        <v>167.06160683843714</v>
      </c>
      <c r="U96" s="5">
        <f t="shared" si="62"/>
        <v>185.22296968103768</v>
      </c>
      <c r="V96" s="5">
        <f t="shared" si="62"/>
        <v>203.30885982643554</v>
      </c>
      <c r="W96" s="5">
        <f t="shared" si="62"/>
        <v>221.32049408743583</v>
      </c>
      <c r="X96" s="5">
        <f t="shared" si="62"/>
        <v>239.25906559593676</v>
      </c>
      <c r="Y96" s="5">
        <f t="shared" ref="Y96" si="63">Y94+X96</f>
        <v>257.12574427403882</v>
      </c>
    </row>
    <row r="97" spans="10:25" x14ac:dyDescent="0.25">
      <c r="J97" t="s">
        <v>176</v>
      </c>
      <c r="L97" s="36">
        <f>L95/L96</f>
        <v>1.6614196576439463E-2</v>
      </c>
      <c r="M97" s="36">
        <f t="shared" ref="M97:Y97" si="64">M95/M96</f>
        <v>1.6652772688929209E-2</v>
      </c>
      <c r="N97" s="36">
        <f t="shared" si="64"/>
        <v>1.6691099838919279E-2</v>
      </c>
      <c r="O97" s="36">
        <f t="shared" si="64"/>
        <v>1.6729179407950247E-2</v>
      </c>
      <c r="P97" s="36">
        <f t="shared" si="64"/>
        <v>1.6767012832000907E-2</v>
      </c>
      <c r="Q97" s="36">
        <f t="shared" si="64"/>
        <v>1.680460159505234E-2</v>
      </c>
      <c r="R97" s="36">
        <f t="shared" si="64"/>
        <v>1.6841947223007851E-2</v>
      </c>
      <c r="S97" s="36">
        <f t="shared" si="64"/>
        <v>1.6879051277974431E-2</v>
      </c>
      <c r="T97" s="36">
        <f t="shared" si="64"/>
        <v>1.6915915352908248E-2</v>
      </c>
      <c r="U97" s="36">
        <f t="shared" si="64"/>
        <v>1.6952541066623888E-2</v>
      </c>
      <c r="V97" s="36">
        <f t="shared" si="64"/>
        <v>1.6988930059164561E-2</v>
      </c>
      <c r="W97" s="36">
        <f t="shared" si="64"/>
        <v>1.702508398752799E-2</v>
      </c>
      <c r="X97" s="36">
        <f t="shared" si="64"/>
        <v>1.7061004521740857E-2</v>
      </c>
      <c r="Y97" s="36">
        <f t="shared" si="64"/>
        <v>1.7096693341272718E-2</v>
      </c>
    </row>
    <row r="98" spans="10:25" x14ac:dyDescent="0.25">
      <c r="J98" t="s">
        <v>121</v>
      </c>
      <c r="L98" s="5">
        <f>3600*L97</f>
        <v>59.811107675182065</v>
      </c>
      <c r="M98" s="5">
        <f t="shared" ref="M98:Y98" si="65">3600*M97</f>
        <v>59.94998168014515</v>
      </c>
      <c r="N98" s="5">
        <f t="shared" si="65"/>
        <v>60.087959420109406</v>
      </c>
      <c r="O98" s="5">
        <f t="shared" si="65"/>
        <v>60.225045868620889</v>
      </c>
      <c r="P98" s="5">
        <f t="shared" si="65"/>
        <v>60.361246195203265</v>
      </c>
      <c r="Q98" s="5">
        <f t="shared" si="65"/>
        <v>60.496565742188423</v>
      </c>
      <c r="R98" s="5">
        <f t="shared" si="65"/>
        <v>60.631010002828262</v>
      </c>
      <c r="S98" s="5">
        <f t="shared" si="65"/>
        <v>60.764584600707948</v>
      </c>
      <c r="T98" s="5">
        <f t="shared" si="65"/>
        <v>60.897295270469691</v>
      </c>
      <c r="U98" s="5">
        <f t="shared" si="65"/>
        <v>61.029147839845997</v>
      </c>
      <c r="V98" s="5">
        <f t="shared" si="65"/>
        <v>61.160148212992418</v>
      </c>
      <c r="W98" s="5">
        <f t="shared" si="65"/>
        <v>61.290302355100764</v>
      </c>
      <c r="X98" s="5">
        <f t="shared" si="65"/>
        <v>61.419616278267085</v>
      </c>
      <c r="Y98" s="5">
        <f t="shared" si="65"/>
        <v>61.548096028581782</v>
      </c>
    </row>
    <row r="99" spans="10:25" x14ac:dyDescent="0.25">
      <c r="J99" t="s">
        <v>177</v>
      </c>
      <c r="L99" s="36">
        <f>IF((L97/2)&lt;$I$18, $I$18, IF((L97/2)&gt;$I$19, $I$19, L97/2))</f>
        <v>0.01</v>
      </c>
      <c r="M99" s="36">
        <f t="shared" ref="M99:Y99" si="66">IF((M97/2)&lt;$I$18, $I$18, IF((M97/2)&gt;$I$19, $I$19, M97/2))</f>
        <v>0.01</v>
      </c>
      <c r="N99" s="36">
        <f t="shared" si="66"/>
        <v>0.01</v>
      </c>
      <c r="O99" s="36">
        <f t="shared" si="66"/>
        <v>0.01</v>
      </c>
      <c r="P99" s="36">
        <f t="shared" si="66"/>
        <v>0.01</v>
      </c>
      <c r="Q99" s="36">
        <f t="shared" si="66"/>
        <v>0.01</v>
      </c>
      <c r="R99" s="36">
        <f t="shared" si="66"/>
        <v>0.01</v>
      </c>
      <c r="S99" s="36">
        <f t="shared" si="66"/>
        <v>0.01</v>
      </c>
      <c r="T99" s="36">
        <f t="shared" si="66"/>
        <v>0.01</v>
      </c>
      <c r="U99" s="36">
        <f t="shared" si="66"/>
        <v>0.01</v>
      </c>
      <c r="V99" s="36">
        <f t="shared" si="66"/>
        <v>0.01</v>
      </c>
      <c r="W99" s="36">
        <f t="shared" si="66"/>
        <v>0.01</v>
      </c>
      <c r="X99" s="36">
        <f t="shared" si="66"/>
        <v>0.01</v>
      </c>
      <c r="Y99" s="36">
        <f t="shared" si="66"/>
        <v>0.01</v>
      </c>
    </row>
    <row r="100" spans="10:25" x14ac:dyDescent="0.25">
      <c r="J100" t="s">
        <v>124</v>
      </c>
      <c r="L100" s="5">
        <f>L99*3600</f>
        <v>36</v>
      </c>
      <c r="M100" s="5">
        <f t="shared" ref="M100:Y100" si="67">M99*3600</f>
        <v>36</v>
      </c>
      <c r="N100" s="5">
        <f t="shared" si="67"/>
        <v>36</v>
      </c>
      <c r="O100" s="5">
        <f t="shared" si="67"/>
        <v>36</v>
      </c>
      <c r="P100" s="5">
        <f t="shared" si="67"/>
        <v>36</v>
      </c>
      <c r="Q100" s="5">
        <f t="shared" si="67"/>
        <v>36</v>
      </c>
      <c r="R100" s="5">
        <f t="shared" si="67"/>
        <v>36</v>
      </c>
      <c r="S100" s="5">
        <f t="shared" si="67"/>
        <v>36</v>
      </c>
      <c r="T100" s="5">
        <f t="shared" si="67"/>
        <v>36</v>
      </c>
      <c r="U100" s="5">
        <f t="shared" si="67"/>
        <v>36</v>
      </c>
      <c r="V100" s="5">
        <f t="shared" si="67"/>
        <v>36</v>
      </c>
      <c r="W100" s="5">
        <f t="shared" si="67"/>
        <v>36</v>
      </c>
      <c r="X100" s="5">
        <f t="shared" si="67"/>
        <v>36</v>
      </c>
      <c r="Y100" s="5">
        <f t="shared" si="67"/>
        <v>36</v>
      </c>
    </row>
    <row r="101" spans="10:25" x14ac:dyDescent="0.25">
      <c r="J101" t="s">
        <v>152</v>
      </c>
      <c r="L101" s="5">
        <f>L99*1000</f>
        <v>10</v>
      </c>
      <c r="M101" s="5">
        <f t="shared" ref="M101:Y101" si="68">M99*1000</f>
        <v>10</v>
      </c>
      <c r="N101" s="5">
        <f t="shared" si="68"/>
        <v>10</v>
      </c>
      <c r="O101" s="5">
        <f t="shared" si="68"/>
        <v>10</v>
      </c>
      <c r="P101" s="5">
        <f t="shared" si="68"/>
        <v>10</v>
      </c>
      <c r="Q101" s="5">
        <f t="shared" si="68"/>
        <v>10</v>
      </c>
      <c r="R101" s="5">
        <f t="shared" si="68"/>
        <v>10</v>
      </c>
      <c r="S101" s="5">
        <f t="shared" si="68"/>
        <v>10</v>
      </c>
      <c r="T101" s="5">
        <f t="shared" si="68"/>
        <v>10</v>
      </c>
      <c r="U101" s="5">
        <f t="shared" si="68"/>
        <v>10</v>
      </c>
      <c r="V101" s="5">
        <f t="shared" si="68"/>
        <v>10</v>
      </c>
      <c r="W101" s="5">
        <f t="shared" si="68"/>
        <v>10</v>
      </c>
      <c r="X101" s="5">
        <f t="shared" si="68"/>
        <v>10</v>
      </c>
      <c r="Y101" s="5">
        <f t="shared" si="68"/>
        <v>10</v>
      </c>
    </row>
    <row r="102" spans="10:25" x14ac:dyDescent="0.25">
      <c r="J102" t="s">
        <v>125</v>
      </c>
      <c r="L102" s="5">
        <f>L98-L100</f>
        <v>23.811107675182065</v>
      </c>
      <c r="M102" s="5">
        <f t="shared" ref="M102:N102" si="69">M98-M100</f>
        <v>23.94998168014515</v>
      </c>
      <c r="N102" s="5">
        <f t="shared" si="69"/>
        <v>24.087959420109406</v>
      </c>
      <c r="O102" s="5">
        <f t="shared" ref="O102" si="70">O98-O100</f>
        <v>24.225045868620889</v>
      </c>
      <c r="P102" s="5">
        <f t="shared" ref="P102" si="71">P98-P100</f>
        <v>24.361246195203265</v>
      </c>
      <c r="Q102" s="5">
        <f t="shared" ref="Q102" si="72">Q98-Q100</f>
        <v>24.496565742188423</v>
      </c>
      <c r="R102" s="5">
        <f t="shared" ref="R102" si="73">R98-R100</f>
        <v>24.631010002828262</v>
      </c>
      <c r="S102" s="5">
        <f t="shared" ref="S102" si="74">S98-S100</f>
        <v>24.764584600707948</v>
      </c>
      <c r="T102" s="5">
        <f t="shared" ref="T102" si="75">T98-T100</f>
        <v>24.897295270469691</v>
      </c>
      <c r="U102" s="5">
        <f t="shared" ref="U102" si="76">U98-U100</f>
        <v>25.029147839845997</v>
      </c>
      <c r="V102" s="5">
        <f t="shared" ref="V102" si="77">V98-V100</f>
        <v>25.160148212992418</v>
      </c>
      <c r="W102" s="5">
        <f t="shared" ref="W102" si="78">W98-W100</f>
        <v>25.290302355100764</v>
      </c>
      <c r="X102" s="5">
        <f t="shared" ref="X102:Y102" si="79">X98-X100</f>
        <v>25.419616278267085</v>
      </c>
      <c r="Y102" s="5">
        <f t="shared" si="79"/>
        <v>25.548096028581782</v>
      </c>
    </row>
    <row r="103" spans="10:25" x14ac:dyDescent="0.25">
      <c r="J103" t="s">
        <v>127</v>
      </c>
      <c r="L103" s="37">
        <f>L$95/(L100/3600)</f>
        <v>31.399999999998219</v>
      </c>
      <c r="M103" s="37">
        <f t="shared" ref="M103:N103" si="80">M$95/(M100/3600)</f>
        <v>62.799999999996437</v>
      </c>
      <c r="N103" s="37">
        <f t="shared" si="80"/>
        <v>94.19999999999466</v>
      </c>
      <c r="O103" s="37">
        <f t="shared" ref="O103:X103" si="81">O$95/(O100/3600)</f>
        <v>125.59999999999287</v>
      </c>
      <c r="P103" s="37">
        <f t="shared" si="81"/>
        <v>156.9999999999911</v>
      </c>
      <c r="Q103" s="37">
        <f t="shared" si="81"/>
        <v>188.39999999998932</v>
      </c>
      <c r="R103" s="37">
        <f t="shared" si="81"/>
        <v>219.79999999998756</v>
      </c>
      <c r="S103" s="37">
        <f t="shared" si="81"/>
        <v>251.19999999998578</v>
      </c>
      <c r="T103" s="37">
        <f t="shared" si="81"/>
        <v>282.59999999998399</v>
      </c>
      <c r="U103" s="37">
        <f t="shared" si="81"/>
        <v>313.99999999998226</v>
      </c>
      <c r="V103" s="37">
        <f t="shared" si="81"/>
        <v>345.39999999998048</v>
      </c>
      <c r="W103" s="37">
        <f t="shared" si="81"/>
        <v>376.7999999999787</v>
      </c>
      <c r="X103" s="37">
        <f t="shared" si="81"/>
        <v>408.19999999997691</v>
      </c>
      <c r="Y103" s="37">
        <f t="shared" ref="Y103" si="82">Y$95/(Y100/3600)</f>
        <v>439.59999999997513</v>
      </c>
    </row>
    <row r="104" spans="10:25" x14ac:dyDescent="0.25">
      <c r="J104" t="s">
        <v>128</v>
      </c>
      <c r="L104" s="37">
        <f t="shared" ref="L104:Y104" si="83">L$95/(L102/3600)</f>
        <v>47.473641941409291</v>
      </c>
      <c r="M104" s="37">
        <f t="shared" si="83"/>
        <v>94.39673191374942</v>
      </c>
      <c r="N104" s="37">
        <f t="shared" si="83"/>
        <v>140.78402993193041</v>
      </c>
      <c r="O104" s="37">
        <f t="shared" si="83"/>
        <v>186.64980138826687</v>
      </c>
      <c r="P104" s="37">
        <f t="shared" si="83"/>
        <v>232.00783550689454</v>
      </c>
      <c r="Q104" s="37">
        <f t="shared" si="83"/>
        <v>276.87146318305531</v>
      </c>
      <c r="R104" s="37">
        <f t="shared" si="83"/>
        <v>321.25357421766154</v>
      </c>
      <c r="S104" s="37">
        <f t="shared" si="83"/>
        <v>365.16663395763032</v>
      </c>
      <c r="T104" s="37">
        <f t="shared" si="83"/>
        <v>408.62269935265533</v>
      </c>
      <c r="U104" s="37">
        <f t="shared" si="83"/>
        <v>451.63343443932899</v>
      </c>
      <c r="V104" s="37">
        <f t="shared" si="83"/>
        <v>494.21012526382151</v>
      </c>
      <c r="W104" s="37">
        <f t="shared" si="83"/>
        <v>536.36369425466239</v>
      </c>
      <c r="X104" s="37">
        <f t="shared" si="83"/>
        <v>578.10471405750798</v>
      </c>
      <c r="Y104" s="37">
        <f t="shared" si="83"/>
        <v>619.4434208441329</v>
      </c>
    </row>
    <row r="105" spans="10:25" x14ac:dyDescent="0.25">
      <c r="J105" t="s">
        <v>126</v>
      </c>
      <c r="L105" s="37">
        <f t="shared" ref="L105:Y105" si="84">L103+L104</f>
        <v>78.873641941407513</v>
      </c>
      <c r="M105" s="37">
        <f t="shared" si="84"/>
        <v>157.19673191374585</v>
      </c>
      <c r="N105" s="37">
        <f t="shared" si="84"/>
        <v>234.98402993192508</v>
      </c>
      <c r="O105" s="37">
        <f t="shared" si="84"/>
        <v>312.24980138825975</v>
      </c>
      <c r="P105" s="37">
        <f t="shared" si="84"/>
        <v>389.00783550688561</v>
      </c>
      <c r="Q105" s="37">
        <f t="shared" si="84"/>
        <v>465.2714631830446</v>
      </c>
      <c r="R105" s="37">
        <f t="shared" si="84"/>
        <v>541.05357421764916</v>
      </c>
      <c r="S105" s="37">
        <f t="shared" si="84"/>
        <v>616.36663395761616</v>
      </c>
      <c r="T105" s="37">
        <f t="shared" si="84"/>
        <v>691.22269935263932</v>
      </c>
      <c r="U105" s="37">
        <f t="shared" si="84"/>
        <v>765.63343443931126</v>
      </c>
      <c r="V105" s="37">
        <f t="shared" si="84"/>
        <v>839.61012526380205</v>
      </c>
      <c r="W105" s="37">
        <f t="shared" si="84"/>
        <v>913.16369425464109</v>
      </c>
      <c r="X105" s="37">
        <f t="shared" si="84"/>
        <v>986.30471405748494</v>
      </c>
      <c r="Y105" s="37">
        <f t="shared" si="84"/>
        <v>1059.0434208441079</v>
      </c>
    </row>
    <row r="107" spans="10:25" x14ac:dyDescent="0.25">
      <c r="J107" t="s">
        <v>129</v>
      </c>
      <c r="L107" s="28">
        <f>$L$93*3600</f>
        <v>59.811107675182065</v>
      </c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</row>
    <row r="108" spans="10:25" x14ac:dyDescent="0.25">
      <c r="J108" t="s">
        <v>125</v>
      </c>
      <c r="L108" s="28">
        <f>L107-$L100</f>
        <v>23.811107675182065</v>
      </c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</row>
    <row r="109" spans="10:25" x14ac:dyDescent="0.25">
      <c r="J109" t="s">
        <v>128</v>
      </c>
      <c r="L109" s="28">
        <f>$L$92/(L108/3600)</f>
        <v>47.473641941409291</v>
      </c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</row>
    <row r="110" spans="10:25" x14ac:dyDescent="0.25">
      <c r="J110" t="s">
        <v>130</v>
      </c>
      <c r="L110" s="28">
        <f>K110+L109</f>
        <v>47.473641941409291</v>
      </c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</row>
    <row r="112" spans="10:25" x14ac:dyDescent="0.25">
      <c r="J112" t="s">
        <v>129</v>
      </c>
      <c r="L112" s="28">
        <f>L$93*3600</f>
        <v>59.811107675182065</v>
      </c>
      <c r="M112" s="28">
        <f t="shared" ref="M112" si="85">M$93*3600</f>
        <v>60.089502082538587</v>
      </c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</row>
    <row r="113" spans="10:25" x14ac:dyDescent="0.25">
      <c r="J113" t="s">
        <v>125</v>
      </c>
      <c r="L113" s="28">
        <f>L112-$M$100</f>
        <v>23.811107675182065</v>
      </c>
      <c r="M113" s="28">
        <f t="shared" ref="M113" si="86">M112-$M$100</f>
        <v>24.089502082538587</v>
      </c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</row>
    <row r="114" spans="10:25" x14ac:dyDescent="0.25">
      <c r="J114" t="s">
        <v>128</v>
      </c>
      <c r="L114" s="28">
        <f>L$92/(L113/3600)</f>
        <v>47.473641941409291</v>
      </c>
      <c r="M114" s="28">
        <f t="shared" ref="M114" si="87">M$92/(M113/3600)</f>
        <v>46.925004764598796</v>
      </c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</row>
    <row r="115" spans="10:25" x14ac:dyDescent="0.25">
      <c r="J115" t="s">
        <v>130</v>
      </c>
      <c r="L115" s="28">
        <f t="shared" ref="L115" si="88">K115+L114</f>
        <v>47.473641941409291</v>
      </c>
      <c r="M115" s="28">
        <f t="shared" ref="M115" si="89">L115+M114</f>
        <v>94.398646706008094</v>
      </c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</row>
    <row r="117" spans="10:25" x14ac:dyDescent="0.25">
      <c r="J117" t="s">
        <v>129</v>
      </c>
      <c r="L117" s="28">
        <f t="shared" ref="L117:T147" si="90">L$93*3600</f>
        <v>59.811107675182065</v>
      </c>
      <c r="M117" s="28">
        <f t="shared" si="90"/>
        <v>60.089502082538587</v>
      </c>
      <c r="N117" s="28">
        <f t="shared" si="90"/>
        <v>60.365829085281085</v>
      </c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</row>
    <row r="118" spans="10:25" x14ac:dyDescent="0.25">
      <c r="J118" t="s">
        <v>125</v>
      </c>
      <c r="L118" s="28">
        <f>L117-$N$100</f>
        <v>23.811107675182065</v>
      </c>
      <c r="M118" s="28">
        <f t="shared" ref="M118:N118" si="91">M117-$N$100</f>
        <v>24.089502082538587</v>
      </c>
      <c r="N118" s="28">
        <f t="shared" si="91"/>
        <v>24.365829085281085</v>
      </c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</row>
    <row r="119" spans="10:25" x14ac:dyDescent="0.25">
      <c r="J119" t="s">
        <v>128</v>
      </c>
      <c r="L119" s="28">
        <f t="shared" ref="L119" si="92">L$92/(L118/3600)</f>
        <v>47.473641941409291</v>
      </c>
      <c r="M119" s="28">
        <f t="shared" ref="M119" si="93">M$92/(M118/3600)</f>
        <v>46.925004764598796</v>
      </c>
      <c r="N119" s="28">
        <f t="shared" ref="N119" si="94">N$92/(N118/3600)</f>
        <v>46.392839580525006</v>
      </c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</row>
    <row r="120" spans="10:25" x14ac:dyDescent="0.25">
      <c r="J120" t="s">
        <v>130</v>
      </c>
      <c r="L120" s="28">
        <f t="shared" ref="L120" si="95">K120+L119</f>
        <v>47.473641941409291</v>
      </c>
      <c r="M120" s="28">
        <f t="shared" ref="M120" si="96">L120+M119</f>
        <v>94.398646706008094</v>
      </c>
      <c r="N120" s="28">
        <f t="shared" ref="N120" si="97">M120+N119</f>
        <v>140.79148628653309</v>
      </c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</row>
    <row r="122" spans="10:25" x14ac:dyDescent="0.25">
      <c r="J122" t="s">
        <v>129</v>
      </c>
      <c r="L122" s="28">
        <f t="shared" ref="L122" si="98">L$93*3600</f>
        <v>59.811107675182065</v>
      </c>
      <c r="M122" s="28">
        <f t="shared" si="90"/>
        <v>60.089502082538587</v>
      </c>
      <c r="N122" s="28">
        <f t="shared" si="90"/>
        <v>60.365829085281085</v>
      </c>
      <c r="O122" s="28">
        <f t="shared" si="90"/>
        <v>60.640084115001159</v>
      </c>
      <c r="P122" s="28"/>
      <c r="Q122" s="28"/>
      <c r="R122" s="28"/>
      <c r="S122" s="28"/>
      <c r="T122" s="28"/>
      <c r="U122" s="28"/>
      <c r="V122" s="28"/>
      <c r="W122" s="28"/>
      <c r="X122" s="28"/>
      <c r="Y122" s="28"/>
    </row>
    <row r="123" spans="10:25" x14ac:dyDescent="0.25">
      <c r="J123" t="s">
        <v>125</v>
      </c>
      <c r="L123" s="28">
        <f>L122-$O$100</f>
        <v>23.811107675182065</v>
      </c>
      <c r="M123" s="28">
        <f t="shared" ref="M123:O123" si="99">M122-$O$100</f>
        <v>24.089502082538587</v>
      </c>
      <c r="N123" s="28">
        <f t="shared" si="99"/>
        <v>24.365829085281085</v>
      </c>
      <c r="O123" s="28">
        <f t="shared" si="99"/>
        <v>24.640084115001159</v>
      </c>
      <c r="P123" s="28"/>
      <c r="Q123" s="28"/>
      <c r="R123" s="28"/>
      <c r="S123" s="28"/>
      <c r="T123" s="28"/>
      <c r="U123" s="28"/>
      <c r="V123" s="28"/>
      <c r="W123" s="28"/>
      <c r="X123" s="28"/>
      <c r="Y123" s="28"/>
    </row>
    <row r="124" spans="10:25" x14ac:dyDescent="0.25">
      <c r="J124" t="s">
        <v>128</v>
      </c>
      <c r="L124" s="28">
        <f t="shared" ref="L124" si="100">L$92/(L123/3600)</f>
        <v>47.473641941409291</v>
      </c>
      <c r="M124" s="28">
        <f t="shared" ref="M124" si="101">M$92/(M123/3600)</f>
        <v>46.925004764598796</v>
      </c>
      <c r="N124" s="28">
        <f t="shared" ref="N124" si="102">N$92/(N123/3600)</f>
        <v>46.392839580525006</v>
      </c>
      <c r="O124" s="28">
        <f t="shared" ref="O124" si="103">O$92/(O123/3600)</f>
        <v>45.87646676545782</v>
      </c>
      <c r="P124" s="28"/>
      <c r="Q124" s="28"/>
      <c r="R124" s="28"/>
      <c r="S124" s="28"/>
      <c r="T124" s="28"/>
      <c r="U124" s="28"/>
      <c r="V124" s="28"/>
      <c r="W124" s="28"/>
      <c r="X124" s="28"/>
      <c r="Y124" s="28"/>
    </row>
    <row r="125" spans="10:25" x14ac:dyDescent="0.25">
      <c r="J125" t="s">
        <v>130</v>
      </c>
      <c r="L125" s="28">
        <f t="shared" ref="L125" si="104">K125+L124</f>
        <v>47.473641941409291</v>
      </c>
      <c r="M125" s="28">
        <f t="shared" ref="M125" si="105">L125+M124</f>
        <v>94.398646706008094</v>
      </c>
      <c r="N125" s="28">
        <f t="shared" ref="N125" si="106">M125+N124</f>
        <v>140.79148628653309</v>
      </c>
      <c r="O125" s="28">
        <f t="shared" ref="O125" si="107">N125+O124</f>
        <v>186.66795305199091</v>
      </c>
      <c r="P125" s="28"/>
      <c r="Q125" s="28"/>
      <c r="R125" s="28"/>
      <c r="S125" s="28"/>
      <c r="T125" s="28"/>
      <c r="U125" s="28"/>
      <c r="V125" s="28"/>
      <c r="W125" s="28"/>
      <c r="X125" s="28"/>
      <c r="Y125" s="28"/>
    </row>
    <row r="127" spans="10:25" x14ac:dyDescent="0.25">
      <c r="J127" t="s">
        <v>129</v>
      </c>
      <c r="L127" s="28">
        <f t="shared" ref="L127" si="108">L$93*3600</f>
        <v>59.811107675182065</v>
      </c>
      <c r="M127" s="28">
        <f t="shared" si="90"/>
        <v>60.089502082538587</v>
      </c>
      <c r="N127" s="28">
        <f t="shared" si="90"/>
        <v>60.365829085281085</v>
      </c>
      <c r="O127" s="28">
        <f t="shared" si="90"/>
        <v>60.640084115001159</v>
      </c>
      <c r="P127" s="28">
        <f t="shared" si="90"/>
        <v>60.91226414125908</v>
      </c>
      <c r="Q127" s="28"/>
      <c r="R127" s="28"/>
      <c r="S127" s="28"/>
      <c r="T127" s="28"/>
      <c r="U127" s="28"/>
      <c r="V127" s="28"/>
      <c r="W127" s="28"/>
      <c r="X127" s="28"/>
      <c r="Y127" s="28"/>
    </row>
    <row r="128" spans="10:25" x14ac:dyDescent="0.25">
      <c r="J128" t="s">
        <v>125</v>
      </c>
      <c r="L128" s="28">
        <f>L127-$P$100</f>
        <v>23.811107675182065</v>
      </c>
      <c r="M128" s="28">
        <f t="shared" ref="M128:P128" si="109">M127-$P$100</f>
        <v>24.089502082538587</v>
      </c>
      <c r="N128" s="28">
        <f t="shared" si="109"/>
        <v>24.365829085281085</v>
      </c>
      <c r="O128" s="28">
        <f t="shared" si="109"/>
        <v>24.640084115001159</v>
      </c>
      <c r="P128" s="28">
        <f t="shared" si="109"/>
        <v>24.91226414125908</v>
      </c>
      <c r="Q128" s="28"/>
      <c r="R128" s="28"/>
      <c r="S128" s="28"/>
      <c r="T128" s="28"/>
      <c r="U128" s="28"/>
      <c r="V128" s="28"/>
      <c r="W128" s="28"/>
      <c r="X128" s="28"/>
      <c r="Y128" s="28"/>
    </row>
    <row r="129" spans="10:25" x14ac:dyDescent="0.25">
      <c r="J129" t="s">
        <v>128</v>
      </c>
      <c r="L129" s="28">
        <f t="shared" ref="L129" si="110">L$92/(L128/3600)</f>
        <v>47.473641941409291</v>
      </c>
      <c r="M129" s="28">
        <f t="shared" ref="M129" si="111">M$92/(M128/3600)</f>
        <v>46.925004764598796</v>
      </c>
      <c r="N129" s="28">
        <f t="shared" ref="N129" si="112">N$92/(N128/3600)</f>
        <v>46.392839580525006</v>
      </c>
      <c r="O129" s="28">
        <f t="shared" ref="O129" si="113">O$92/(O128/3600)</f>
        <v>45.87646676545782</v>
      </c>
      <c r="P129" s="28">
        <f t="shared" ref="P129" si="114">P$92/(P128/3600)</f>
        <v>45.375241430898086</v>
      </c>
      <c r="Q129" s="28"/>
      <c r="R129" s="28"/>
      <c r="S129" s="28"/>
      <c r="T129" s="28"/>
      <c r="U129" s="28"/>
      <c r="V129" s="28"/>
      <c r="W129" s="28"/>
      <c r="X129" s="28"/>
      <c r="Y129" s="28"/>
    </row>
    <row r="130" spans="10:25" x14ac:dyDescent="0.25">
      <c r="J130" t="s">
        <v>130</v>
      </c>
      <c r="L130" s="28">
        <f t="shared" ref="L130" si="115">K130+L129</f>
        <v>47.473641941409291</v>
      </c>
      <c r="M130" s="28">
        <f t="shared" ref="M130" si="116">L130+M129</f>
        <v>94.398646706008094</v>
      </c>
      <c r="N130" s="28">
        <f t="shared" ref="N130" si="117">M130+N129</f>
        <v>140.79148628653309</v>
      </c>
      <c r="O130" s="28">
        <f t="shared" ref="O130" si="118">N130+O129</f>
        <v>186.66795305199091</v>
      </c>
      <c r="P130" s="28">
        <f t="shared" ref="P130" si="119">O130+P129</f>
        <v>232.04319448288899</v>
      </c>
      <c r="Q130" s="28"/>
      <c r="R130" s="28"/>
      <c r="S130" s="28"/>
      <c r="T130" s="28"/>
      <c r="U130" s="28"/>
      <c r="V130" s="28"/>
      <c r="W130" s="28"/>
      <c r="X130" s="28"/>
      <c r="Y130" s="28"/>
    </row>
    <row r="132" spans="10:25" x14ac:dyDescent="0.25">
      <c r="J132" t="s">
        <v>129</v>
      </c>
      <c r="L132" s="28">
        <f t="shared" ref="L132" si="120">L$93*3600</f>
        <v>59.811107675182065</v>
      </c>
      <c r="M132" s="28">
        <f t="shared" si="90"/>
        <v>60.089502082538587</v>
      </c>
      <c r="N132" s="28">
        <f t="shared" si="90"/>
        <v>60.365829085281085</v>
      </c>
      <c r="O132" s="28">
        <f t="shared" si="90"/>
        <v>60.640084115001159</v>
      </c>
      <c r="P132" s="28">
        <f t="shared" si="90"/>
        <v>60.91226414125908</v>
      </c>
      <c r="Q132" s="28">
        <f t="shared" si="90"/>
        <v>61.182367542280971</v>
      </c>
      <c r="R132" s="28"/>
      <c r="S132" s="28"/>
      <c r="T132" s="28"/>
      <c r="U132" s="28"/>
      <c r="V132" s="28"/>
      <c r="W132" s="28"/>
      <c r="X132" s="28"/>
      <c r="Y132" s="28"/>
    </row>
    <row r="133" spans="10:25" x14ac:dyDescent="0.25">
      <c r="J133" t="s">
        <v>125</v>
      </c>
      <c r="L133" s="28">
        <f>L132-$Q$100</f>
        <v>23.811107675182065</v>
      </c>
      <c r="M133" s="28">
        <f t="shared" ref="M133:Q133" si="121">M132-$Q$100</f>
        <v>24.089502082538587</v>
      </c>
      <c r="N133" s="28">
        <f t="shared" si="121"/>
        <v>24.365829085281085</v>
      </c>
      <c r="O133" s="28">
        <f t="shared" si="121"/>
        <v>24.640084115001159</v>
      </c>
      <c r="P133" s="28">
        <f t="shared" si="121"/>
        <v>24.91226414125908</v>
      </c>
      <c r="Q133" s="28">
        <f t="shared" si="121"/>
        <v>25.182367542280971</v>
      </c>
      <c r="R133" s="28"/>
      <c r="S133" s="28"/>
      <c r="T133" s="28"/>
      <c r="U133" s="28"/>
      <c r="V133" s="28"/>
      <c r="W133" s="28"/>
      <c r="X133" s="28"/>
      <c r="Y133" s="28"/>
    </row>
    <row r="134" spans="10:25" x14ac:dyDescent="0.25">
      <c r="J134" t="s">
        <v>128</v>
      </c>
      <c r="L134" s="28">
        <f t="shared" ref="L134" si="122">L$92/(L133/3600)</f>
        <v>47.473641941409291</v>
      </c>
      <c r="M134" s="28">
        <f t="shared" ref="M134" si="123">M$92/(M133/3600)</f>
        <v>46.925004764598796</v>
      </c>
      <c r="N134" s="28">
        <f t="shared" ref="N134" si="124">N$92/(N133/3600)</f>
        <v>46.392839580525006</v>
      </c>
      <c r="O134" s="28">
        <f t="shared" ref="O134" si="125">O$92/(O133/3600)</f>
        <v>45.87646676545782</v>
      </c>
      <c r="P134" s="28">
        <f t="shared" ref="P134" si="126">P$92/(P133/3600)</f>
        <v>45.375241430898086</v>
      </c>
      <c r="Q134" s="28">
        <f t="shared" ref="Q134" si="127">Q$92/(Q133/3600)</f>
        <v>44.888551408123334</v>
      </c>
      <c r="R134" s="28"/>
      <c r="S134" s="28"/>
      <c r="T134" s="28"/>
      <c r="U134" s="28"/>
      <c r="V134" s="28"/>
      <c r="W134" s="28"/>
      <c r="X134" s="28"/>
      <c r="Y134" s="28"/>
    </row>
    <row r="135" spans="10:25" x14ac:dyDescent="0.25">
      <c r="J135" t="s">
        <v>130</v>
      </c>
      <c r="L135" s="28">
        <f t="shared" ref="L135" si="128">K135+L134</f>
        <v>47.473641941409291</v>
      </c>
      <c r="M135" s="28">
        <f t="shared" ref="M135" si="129">L135+M134</f>
        <v>94.398646706008094</v>
      </c>
      <c r="N135" s="28">
        <f t="shared" ref="N135" si="130">M135+N134</f>
        <v>140.79148628653309</v>
      </c>
      <c r="O135" s="28">
        <f t="shared" ref="O135" si="131">N135+O134</f>
        <v>186.66795305199091</v>
      </c>
      <c r="P135" s="28">
        <f t="shared" ref="P135" si="132">O135+P134</f>
        <v>232.04319448288899</v>
      </c>
      <c r="Q135" s="28">
        <f t="shared" ref="Q135" si="133">P135+Q134</f>
        <v>276.93174589101233</v>
      </c>
      <c r="R135" s="28"/>
      <c r="S135" s="28"/>
      <c r="T135" s="28"/>
      <c r="U135" s="28"/>
      <c r="V135" s="28"/>
      <c r="W135" s="28"/>
      <c r="X135" s="28"/>
      <c r="Y135" s="28"/>
    </row>
    <row r="137" spans="10:25" x14ac:dyDescent="0.25">
      <c r="J137" t="s">
        <v>129</v>
      </c>
      <c r="L137" s="28">
        <f t="shared" ref="L137" si="134">L$93*3600</f>
        <v>59.811107675182065</v>
      </c>
      <c r="M137" s="28">
        <f t="shared" si="90"/>
        <v>60.089502082538587</v>
      </c>
      <c r="N137" s="28">
        <f t="shared" si="90"/>
        <v>60.365829085281085</v>
      </c>
      <c r="O137" s="28">
        <f t="shared" si="90"/>
        <v>60.640084115001159</v>
      </c>
      <c r="P137" s="28">
        <f t="shared" si="90"/>
        <v>60.91226414125908</v>
      </c>
      <c r="Q137" s="28">
        <f t="shared" si="90"/>
        <v>61.182367542280971</v>
      </c>
      <c r="R137" s="28">
        <f t="shared" si="90"/>
        <v>61.450393981087984</v>
      </c>
      <c r="S137" s="28"/>
      <c r="T137" s="28"/>
      <c r="U137" s="28"/>
      <c r="V137" s="28"/>
      <c r="W137" s="28"/>
      <c r="X137" s="28"/>
      <c r="Y137" s="28"/>
    </row>
    <row r="138" spans="10:25" x14ac:dyDescent="0.25">
      <c r="J138" t="s">
        <v>125</v>
      </c>
      <c r="L138" s="28">
        <f>L137-$R$100</f>
        <v>23.811107675182065</v>
      </c>
      <c r="M138" s="28">
        <f t="shared" ref="M138:R138" si="135">M137-$R$100</f>
        <v>24.089502082538587</v>
      </c>
      <c r="N138" s="28">
        <f t="shared" si="135"/>
        <v>24.365829085281085</v>
      </c>
      <c r="O138" s="28">
        <f t="shared" si="135"/>
        <v>24.640084115001159</v>
      </c>
      <c r="P138" s="28">
        <f t="shared" si="135"/>
        <v>24.91226414125908</v>
      </c>
      <c r="Q138" s="28">
        <f t="shared" si="135"/>
        <v>25.182367542280971</v>
      </c>
      <c r="R138" s="28">
        <f t="shared" si="135"/>
        <v>25.450393981087984</v>
      </c>
      <c r="S138" s="28"/>
      <c r="T138" s="28"/>
      <c r="U138" s="28"/>
      <c r="V138" s="28"/>
      <c r="W138" s="28"/>
      <c r="X138" s="28"/>
      <c r="Y138" s="28"/>
    </row>
    <row r="139" spans="10:25" x14ac:dyDescent="0.25">
      <c r="J139" t="s">
        <v>128</v>
      </c>
      <c r="L139" s="28">
        <f t="shared" ref="L139" si="136">L$92/(L138/3600)</f>
        <v>47.473641941409291</v>
      </c>
      <c r="M139" s="28">
        <f t="shared" ref="M139" si="137">M$92/(M138/3600)</f>
        <v>46.925004764598796</v>
      </c>
      <c r="N139" s="28">
        <f t="shared" ref="N139" si="138">N$92/(N138/3600)</f>
        <v>46.392839580525006</v>
      </c>
      <c r="O139" s="28">
        <f t="shared" ref="O139" si="139">O$92/(O138/3600)</f>
        <v>45.87646676545782</v>
      </c>
      <c r="P139" s="28">
        <f t="shared" ref="P139" si="140">P$92/(P138/3600)</f>
        <v>45.375241430898086</v>
      </c>
      <c r="Q139" s="28">
        <f t="shared" ref="Q139" si="141">Q$92/(Q138/3600)</f>
        <v>44.888551408123334</v>
      </c>
      <c r="R139" s="28">
        <f t="shared" ref="R139" si="142">R$92/(R138/3600)</f>
        <v>44.415815363798629</v>
      </c>
      <c r="S139" s="28"/>
      <c r="T139" s="28"/>
      <c r="U139" s="28"/>
      <c r="V139" s="28"/>
      <c r="W139" s="28"/>
      <c r="X139" s="28"/>
      <c r="Y139" s="28"/>
    </row>
    <row r="140" spans="10:25" x14ac:dyDescent="0.25">
      <c r="J140" t="s">
        <v>130</v>
      </c>
      <c r="L140" s="28">
        <f t="shared" ref="L140" si="143">K140+L139</f>
        <v>47.473641941409291</v>
      </c>
      <c r="M140" s="28">
        <f t="shared" ref="M140" si="144">L140+M139</f>
        <v>94.398646706008094</v>
      </c>
      <c r="N140" s="28">
        <f t="shared" ref="N140" si="145">M140+N139</f>
        <v>140.79148628653309</v>
      </c>
      <c r="O140" s="28">
        <f t="shared" ref="O140" si="146">N140+O139</f>
        <v>186.66795305199091</v>
      </c>
      <c r="P140" s="28">
        <f t="shared" ref="P140" si="147">O140+P139</f>
        <v>232.04319448288899</v>
      </c>
      <c r="Q140" s="28">
        <f t="shared" ref="Q140" si="148">P140+Q139</f>
        <v>276.93174589101233</v>
      </c>
      <c r="R140" s="28">
        <f t="shared" ref="R140" si="149">Q140+R139</f>
        <v>321.34756125481096</v>
      </c>
      <c r="S140" s="28"/>
      <c r="T140" s="28"/>
      <c r="U140" s="28"/>
      <c r="V140" s="28"/>
      <c r="W140" s="28"/>
      <c r="X140" s="28"/>
      <c r="Y140" s="28"/>
    </row>
    <row r="142" spans="10:25" x14ac:dyDescent="0.25">
      <c r="J142" t="s">
        <v>129</v>
      </c>
      <c r="L142" s="28">
        <f t="shared" ref="L142" si="150">L$93*3600</f>
        <v>59.811107675182065</v>
      </c>
      <c r="M142" s="28">
        <f t="shared" si="90"/>
        <v>60.089502082538587</v>
      </c>
      <c r="N142" s="28">
        <f t="shared" si="90"/>
        <v>60.365829085281085</v>
      </c>
      <c r="O142" s="28">
        <f t="shared" si="90"/>
        <v>60.640084115001159</v>
      </c>
      <c r="P142" s="28">
        <f t="shared" si="90"/>
        <v>60.91226414125908</v>
      </c>
      <c r="Q142" s="28">
        <f t="shared" si="90"/>
        <v>61.182367542280971</v>
      </c>
      <c r="R142" s="28">
        <f t="shared" si="90"/>
        <v>61.450393981087984</v>
      </c>
      <c r="S142" s="28">
        <f t="shared" si="90"/>
        <v>61.716344287591745</v>
      </c>
      <c r="T142" s="28"/>
      <c r="U142" s="28"/>
      <c r="V142" s="28"/>
      <c r="W142" s="28"/>
      <c r="X142" s="28"/>
      <c r="Y142" s="28"/>
    </row>
    <row r="143" spans="10:25" x14ac:dyDescent="0.25">
      <c r="J143" t="s">
        <v>125</v>
      </c>
      <c r="L143" s="28">
        <f>L142-$S$100</f>
        <v>23.811107675182065</v>
      </c>
      <c r="M143" s="28">
        <f t="shared" ref="M143:S143" si="151">M142-$S$100</f>
        <v>24.089502082538587</v>
      </c>
      <c r="N143" s="28">
        <f t="shared" si="151"/>
        <v>24.365829085281085</v>
      </c>
      <c r="O143" s="28">
        <f t="shared" si="151"/>
        <v>24.640084115001159</v>
      </c>
      <c r="P143" s="28">
        <f t="shared" si="151"/>
        <v>24.91226414125908</v>
      </c>
      <c r="Q143" s="28">
        <f t="shared" si="151"/>
        <v>25.182367542280971</v>
      </c>
      <c r="R143" s="28">
        <f t="shared" si="151"/>
        <v>25.450393981087984</v>
      </c>
      <c r="S143" s="28">
        <f t="shared" si="151"/>
        <v>25.716344287591745</v>
      </c>
      <c r="T143" s="28"/>
      <c r="U143" s="28"/>
      <c r="V143" s="28"/>
      <c r="W143" s="28"/>
      <c r="X143" s="28"/>
      <c r="Y143" s="28"/>
    </row>
    <row r="144" spans="10:25" x14ac:dyDescent="0.25">
      <c r="J144" t="s">
        <v>128</v>
      </c>
      <c r="L144" s="28">
        <f t="shared" ref="L144" si="152">L$92/(L143/3600)</f>
        <v>47.473641941409291</v>
      </c>
      <c r="M144" s="28">
        <f t="shared" ref="M144" si="153">M$92/(M143/3600)</f>
        <v>46.925004764598796</v>
      </c>
      <c r="N144" s="28">
        <f t="shared" ref="N144" si="154">N$92/(N143/3600)</f>
        <v>46.392839580525006</v>
      </c>
      <c r="O144" s="28">
        <f t="shared" ref="O144" si="155">O$92/(O143/3600)</f>
        <v>45.87646676545782</v>
      </c>
      <c r="P144" s="28">
        <f t="shared" ref="P144" si="156">P$92/(P143/3600)</f>
        <v>45.375241430898086</v>
      </c>
      <c r="Q144" s="28">
        <f t="shared" ref="Q144" si="157">Q$92/(Q143/3600)</f>
        <v>44.888551408123334</v>
      </c>
      <c r="R144" s="28">
        <f t="shared" ref="R144" si="158">R$92/(R143/3600)</f>
        <v>44.415815363798629</v>
      </c>
      <c r="S144" s="28">
        <f t="shared" ref="S144" si="159">S$92/(S143/3600)</f>
        <v>43.956481036278518</v>
      </c>
      <c r="T144" s="28"/>
      <c r="U144" s="28"/>
      <c r="V144" s="28"/>
      <c r="W144" s="28"/>
      <c r="X144" s="28"/>
      <c r="Y144" s="28"/>
    </row>
    <row r="145" spans="10:25" x14ac:dyDescent="0.25">
      <c r="J145" t="s">
        <v>130</v>
      </c>
      <c r="L145" s="28">
        <f t="shared" ref="L145" si="160">K145+L144</f>
        <v>47.473641941409291</v>
      </c>
      <c r="M145" s="28">
        <f t="shared" ref="M145" si="161">L145+M144</f>
        <v>94.398646706008094</v>
      </c>
      <c r="N145" s="28">
        <f t="shared" ref="N145" si="162">M145+N144</f>
        <v>140.79148628653309</v>
      </c>
      <c r="O145" s="28">
        <f t="shared" ref="O145" si="163">N145+O144</f>
        <v>186.66795305199091</v>
      </c>
      <c r="P145" s="28">
        <f t="shared" ref="P145" si="164">O145+P144</f>
        <v>232.04319448288899</v>
      </c>
      <c r="Q145" s="28">
        <f t="shared" ref="Q145" si="165">P145+Q144</f>
        <v>276.93174589101233</v>
      </c>
      <c r="R145" s="28">
        <f t="shared" ref="R145" si="166">Q145+R144</f>
        <v>321.34756125481096</v>
      </c>
      <c r="S145" s="28">
        <f t="shared" ref="S145" si="167">R145+S144</f>
        <v>365.30404229108944</v>
      </c>
      <c r="T145" s="28"/>
      <c r="U145" s="28"/>
      <c r="V145" s="28"/>
      <c r="W145" s="28"/>
      <c r="X145" s="28"/>
      <c r="Y145" s="28"/>
    </row>
    <row r="147" spans="10:25" x14ac:dyDescent="0.25">
      <c r="J147" t="s">
        <v>129</v>
      </c>
      <c r="L147" s="28">
        <f t="shared" ref="L147" si="168">L$93*3600</f>
        <v>59.811107675182065</v>
      </c>
      <c r="M147" s="28">
        <f t="shared" si="90"/>
        <v>60.089502082538587</v>
      </c>
      <c r="N147" s="28">
        <f t="shared" si="90"/>
        <v>60.365829085281085</v>
      </c>
      <c r="O147" s="28">
        <f t="shared" si="90"/>
        <v>60.640084115001159</v>
      </c>
      <c r="P147" s="28">
        <f t="shared" si="90"/>
        <v>60.91226414125908</v>
      </c>
      <c r="Q147" s="28">
        <f t="shared" si="90"/>
        <v>61.182367542280971</v>
      </c>
      <c r="R147" s="28">
        <f t="shared" si="90"/>
        <v>61.450393981087984</v>
      </c>
      <c r="S147" s="28">
        <f t="shared" si="90"/>
        <v>61.716344287591745</v>
      </c>
      <c r="T147" s="28">
        <f t="shared" si="90"/>
        <v>61.980220347080135</v>
      </c>
      <c r="U147" s="28"/>
      <c r="V147" s="28"/>
      <c r="W147" s="28"/>
      <c r="X147" s="28"/>
      <c r="Y147" s="28"/>
    </row>
    <row r="148" spans="10:25" x14ac:dyDescent="0.25">
      <c r="J148" t="s">
        <v>125</v>
      </c>
      <c r="L148" s="28">
        <f>L147-$T$100</f>
        <v>23.811107675182065</v>
      </c>
      <c r="M148" s="28">
        <f t="shared" ref="M148:T148" si="169">M147-$T$100</f>
        <v>24.089502082538587</v>
      </c>
      <c r="N148" s="28">
        <f t="shared" si="169"/>
        <v>24.365829085281085</v>
      </c>
      <c r="O148" s="28">
        <f t="shared" si="169"/>
        <v>24.640084115001159</v>
      </c>
      <c r="P148" s="28">
        <f t="shared" si="169"/>
        <v>24.91226414125908</v>
      </c>
      <c r="Q148" s="28">
        <f t="shared" si="169"/>
        <v>25.182367542280971</v>
      </c>
      <c r="R148" s="28">
        <f t="shared" si="169"/>
        <v>25.450393981087984</v>
      </c>
      <c r="S148" s="28">
        <f t="shared" si="169"/>
        <v>25.716344287591745</v>
      </c>
      <c r="T148" s="28">
        <f t="shared" si="169"/>
        <v>25.980220347080135</v>
      </c>
      <c r="U148" s="28"/>
      <c r="V148" s="28"/>
      <c r="W148" s="28"/>
      <c r="X148" s="28"/>
      <c r="Y148" s="28"/>
    </row>
    <row r="149" spans="10:25" x14ac:dyDescent="0.25">
      <c r="J149" t="s">
        <v>128</v>
      </c>
      <c r="L149" s="28">
        <f t="shared" ref="L149" si="170">L$92/(L148/3600)</f>
        <v>47.473641941409291</v>
      </c>
      <c r="M149" s="28">
        <f t="shared" ref="M149" si="171">M$92/(M148/3600)</f>
        <v>46.925004764598796</v>
      </c>
      <c r="N149" s="28">
        <f t="shared" ref="N149" si="172">N$92/(N148/3600)</f>
        <v>46.392839580525006</v>
      </c>
      <c r="O149" s="28">
        <f t="shared" ref="O149" si="173">O$92/(O148/3600)</f>
        <v>45.87646676545782</v>
      </c>
      <c r="P149" s="28">
        <f t="shared" ref="P149" si="174">P$92/(P148/3600)</f>
        <v>45.375241430898086</v>
      </c>
      <c r="Q149" s="28">
        <f t="shared" ref="Q149" si="175">Q$92/(Q148/3600)</f>
        <v>44.888551408123334</v>
      </c>
      <c r="R149" s="28">
        <f t="shared" ref="R149" si="176">R$92/(R148/3600)</f>
        <v>44.415815363798629</v>
      </c>
      <c r="S149" s="28">
        <f t="shared" ref="S149" si="177">S$92/(S148/3600)</f>
        <v>43.956481036278518</v>
      </c>
      <c r="T149" s="28">
        <f t="shared" ref="T149" si="178">T$92/(T148/3600)</f>
        <v>43.510023583267234</v>
      </c>
      <c r="U149" s="28"/>
      <c r="V149" s="28"/>
      <c r="W149" s="28"/>
      <c r="X149" s="28"/>
      <c r="Y149" s="28"/>
    </row>
    <row r="150" spans="10:25" x14ac:dyDescent="0.25">
      <c r="J150" t="s">
        <v>130</v>
      </c>
      <c r="L150" s="28">
        <f t="shared" ref="L150" si="179">K150+L149</f>
        <v>47.473641941409291</v>
      </c>
      <c r="M150" s="28">
        <f t="shared" ref="M150" si="180">L150+M149</f>
        <v>94.398646706008094</v>
      </c>
      <c r="N150" s="28">
        <f t="shared" ref="N150" si="181">M150+N149</f>
        <v>140.79148628653309</v>
      </c>
      <c r="O150" s="28">
        <f t="shared" ref="O150" si="182">N150+O149</f>
        <v>186.66795305199091</v>
      </c>
      <c r="P150" s="28">
        <f t="shared" ref="P150" si="183">O150+P149</f>
        <v>232.04319448288899</v>
      </c>
      <c r="Q150" s="28">
        <f t="shared" ref="Q150" si="184">P150+Q149</f>
        <v>276.93174589101233</v>
      </c>
      <c r="R150" s="28">
        <f t="shared" ref="R150" si="185">Q150+R149</f>
        <v>321.34756125481096</v>
      </c>
      <c r="S150" s="28">
        <f t="shared" ref="S150" si="186">R150+S149</f>
        <v>365.30404229108944</v>
      </c>
      <c r="T150" s="28">
        <f t="shared" ref="T150" si="187">S150+T149</f>
        <v>408.81406587435669</v>
      </c>
      <c r="U150" s="28"/>
      <c r="V150" s="28"/>
      <c r="W150" s="28"/>
      <c r="X150" s="28"/>
      <c r="Y150" s="28"/>
    </row>
    <row r="152" spans="10:25" x14ac:dyDescent="0.25">
      <c r="J152" t="s">
        <v>129</v>
      </c>
      <c r="L152" s="28">
        <f t="shared" ref="L152:Y172" si="188">L$93*3600</f>
        <v>59.811107675182065</v>
      </c>
      <c r="M152" s="28">
        <f t="shared" si="188"/>
        <v>60.089502082538587</v>
      </c>
      <c r="N152" s="28">
        <f t="shared" si="188"/>
        <v>60.365829085281085</v>
      </c>
      <c r="O152" s="28">
        <f t="shared" si="188"/>
        <v>60.640084115001159</v>
      </c>
      <c r="P152" s="28">
        <f t="shared" si="188"/>
        <v>60.91226414125908</v>
      </c>
      <c r="Q152" s="28">
        <f t="shared" si="188"/>
        <v>61.182367542280971</v>
      </c>
      <c r="R152" s="28">
        <f t="shared" si="188"/>
        <v>61.450393981087984</v>
      </c>
      <c r="S152" s="28">
        <f t="shared" si="188"/>
        <v>61.716344287591745</v>
      </c>
      <c r="T152" s="28">
        <f t="shared" si="188"/>
        <v>61.980220347080135</v>
      </c>
      <c r="U152" s="28">
        <f t="shared" si="188"/>
        <v>62.242024995414575</v>
      </c>
      <c r="V152" s="28"/>
      <c r="W152" s="28"/>
      <c r="X152" s="28"/>
      <c r="Y152" s="28"/>
    </row>
    <row r="153" spans="10:25" x14ac:dyDescent="0.25">
      <c r="J153" t="s">
        <v>125</v>
      </c>
      <c r="L153" s="28">
        <f>L152-$U$100</f>
        <v>23.811107675182065</v>
      </c>
      <c r="M153" s="28">
        <f t="shared" ref="M153:U153" si="189">M152-$U$100</f>
        <v>24.089502082538587</v>
      </c>
      <c r="N153" s="28">
        <f t="shared" si="189"/>
        <v>24.365829085281085</v>
      </c>
      <c r="O153" s="28">
        <f t="shared" si="189"/>
        <v>24.640084115001159</v>
      </c>
      <c r="P153" s="28">
        <f t="shared" si="189"/>
        <v>24.91226414125908</v>
      </c>
      <c r="Q153" s="28">
        <f t="shared" si="189"/>
        <v>25.182367542280971</v>
      </c>
      <c r="R153" s="28">
        <f t="shared" si="189"/>
        <v>25.450393981087984</v>
      </c>
      <c r="S153" s="28">
        <f t="shared" si="189"/>
        <v>25.716344287591745</v>
      </c>
      <c r="T153" s="28">
        <f t="shared" si="189"/>
        <v>25.980220347080135</v>
      </c>
      <c r="U153" s="28">
        <f t="shared" si="189"/>
        <v>26.242024995414575</v>
      </c>
      <c r="V153" s="28"/>
      <c r="W153" s="28"/>
      <c r="X153" s="28"/>
      <c r="Y153" s="28"/>
    </row>
    <row r="154" spans="10:25" x14ac:dyDescent="0.25">
      <c r="J154" t="s">
        <v>128</v>
      </c>
      <c r="L154" s="28">
        <f t="shared" ref="L154" si="190">L$92/(L153/3600)</f>
        <v>47.473641941409291</v>
      </c>
      <c r="M154" s="28">
        <f t="shared" ref="M154" si="191">M$92/(M153/3600)</f>
        <v>46.925004764598796</v>
      </c>
      <c r="N154" s="28">
        <f t="shared" ref="N154" si="192">N$92/(N153/3600)</f>
        <v>46.392839580525006</v>
      </c>
      <c r="O154" s="28">
        <f t="shared" ref="O154" si="193">O$92/(O153/3600)</f>
        <v>45.87646676545782</v>
      </c>
      <c r="P154" s="28">
        <f t="shared" ref="P154" si="194">P$92/(P153/3600)</f>
        <v>45.375241430898086</v>
      </c>
      <c r="Q154" s="28">
        <f t="shared" ref="Q154" si="195">Q$92/(Q153/3600)</f>
        <v>44.888551408123334</v>
      </c>
      <c r="R154" s="28">
        <f t="shared" ref="R154" si="196">R$92/(R153/3600)</f>
        <v>44.415815363798629</v>
      </c>
      <c r="S154" s="28">
        <f t="shared" ref="S154" si="197">S$92/(S153/3600)</f>
        <v>43.956481036278518</v>
      </c>
      <c r="T154" s="28">
        <f t="shared" ref="T154" si="198">T$92/(T153/3600)</f>
        <v>43.510023583267234</v>
      </c>
      <c r="U154" s="28">
        <f t="shared" ref="U154" si="199">U$92/(U153/3600)</f>
        <v>43.075944032423465</v>
      </c>
      <c r="V154" s="28"/>
      <c r="W154" s="28"/>
      <c r="X154" s="28"/>
      <c r="Y154" s="28"/>
    </row>
    <row r="155" spans="10:25" x14ac:dyDescent="0.25">
      <c r="J155" t="s">
        <v>130</v>
      </c>
      <c r="L155" s="28">
        <f t="shared" ref="L155" si="200">K155+L154</f>
        <v>47.473641941409291</v>
      </c>
      <c r="M155" s="28">
        <f t="shared" ref="M155" si="201">L155+M154</f>
        <v>94.398646706008094</v>
      </c>
      <c r="N155" s="28">
        <f t="shared" ref="N155" si="202">M155+N154</f>
        <v>140.79148628653309</v>
      </c>
      <c r="O155" s="28">
        <f t="shared" ref="O155" si="203">N155+O154</f>
        <v>186.66795305199091</v>
      </c>
      <c r="P155" s="28">
        <f t="shared" ref="P155" si="204">O155+P154</f>
        <v>232.04319448288899</v>
      </c>
      <c r="Q155" s="28">
        <f t="shared" ref="Q155" si="205">P155+Q154</f>
        <v>276.93174589101233</v>
      </c>
      <c r="R155" s="28">
        <f t="shared" ref="R155" si="206">Q155+R154</f>
        <v>321.34756125481096</v>
      </c>
      <c r="S155" s="28">
        <f t="shared" ref="S155" si="207">R155+S154</f>
        <v>365.30404229108944</v>
      </c>
      <c r="T155" s="28">
        <f t="shared" ref="T155" si="208">S155+T154</f>
        <v>408.81406587435669</v>
      </c>
      <c r="U155" s="28">
        <f t="shared" ref="U155" si="209">T155+U154</f>
        <v>451.89000990678016</v>
      </c>
      <c r="V155" s="28"/>
      <c r="W155" s="28"/>
      <c r="X155" s="28"/>
      <c r="Y155" s="28"/>
    </row>
    <row r="157" spans="10:25" x14ac:dyDescent="0.25">
      <c r="J157" t="s">
        <v>129</v>
      </c>
      <c r="L157" s="28">
        <f t="shared" ref="L157" si="210">L$93*3600</f>
        <v>59.811107675182065</v>
      </c>
      <c r="M157" s="28">
        <f t="shared" si="188"/>
        <v>60.089502082538587</v>
      </c>
      <c r="N157" s="28">
        <f t="shared" si="188"/>
        <v>60.365829085281085</v>
      </c>
      <c r="O157" s="28">
        <f t="shared" si="188"/>
        <v>60.640084115001159</v>
      </c>
      <c r="P157" s="28">
        <f t="shared" si="188"/>
        <v>60.91226414125908</v>
      </c>
      <c r="Q157" s="28">
        <f t="shared" si="188"/>
        <v>61.182367542280971</v>
      </c>
      <c r="R157" s="28">
        <f t="shared" si="188"/>
        <v>61.450393981087984</v>
      </c>
      <c r="S157" s="28">
        <f t="shared" si="188"/>
        <v>61.716344287591745</v>
      </c>
      <c r="T157" s="28">
        <f t="shared" si="188"/>
        <v>61.980220347080135</v>
      </c>
      <c r="U157" s="28">
        <f t="shared" si="188"/>
        <v>62.242024995414575</v>
      </c>
      <c r="V157" s="28">
        <f t="shared" si="188"/>
        <v>62.501761921161375</v>
      </c>
      <c r="W157" s="28"/>
      <c r="X157" s="28"/>
      <c r="Y157" s="28"/>
    </row>
    <row r="158" spans="10:25" x14ac:dyDescent="0.25">
      <c r="J158" t="s">
        <v>125</v>
      </c>
      <c r="L158" s="28">
        <f>L157-$V$100</f>
        <v>23.811107675182065</v>
      </c>
      <c r="M158" s="28">
        <f t="shared" ref="M158:V158" si="211">M157-$V$100</f>
        <v>24.089502082538587</v>
      </c>
      <c r="N158" s="28">
        <f t="shared" si="211"/>
        <v>24.365829085281085</v>
      </c>
      <c r="O158" s="28">
        <f t="shared" si="211"/>
        <v>24.640084115001159</v>
      </c>
      <c r="P158" s="28">
        <f t="shared" si="211"/>
        <v>24.91226414125908</v>
      </c>
      <c r="Q158" s="28">
        <f t="shared" si="211"/>
        <v>25.182367542280971</v>
      </c>
      <c r="R158" s="28">
        <f t="shared" si="211"/>
        <v>25.450393981087984</v>
      </c>
      <c r="S158" s="28">
        <f t="shared" si="211"/>
        <v>25.716344287591745</v>
      </c>
      <c r="T158" s="28">
        <f t="shared" si="211"/>
        <v>25.980220347080135</v>
      </c>
      <c r="U158" s="28">
        <f t="shared" si="211"/>
        <v>26.242024995414575</v>
      </c>
      <c r="V158" s="28">
        <f t="shared" si="211"/>
        <v>26.501761921161375</v>
      </c>
      <c r="W158" s="28"/>
      <c r="X158" s="28"/>
      <c r="Y158" s="28"/>
    </row>
    <row r="159" spans="10:25" x14ac:dyDescent="0.25">
      <c r="J159" t="s">
        <v>128</v>
      </c>
      <c r="L159" s="28">
        <f t="shared" ref="L159" si="212">L$92/(L158/3600)</f>
        <v>47.473641941409291</v>
      </c>
      <c r="M159" s="28">
        <f t="shared" ref="M159" si="213">M$92/(M158/3600)</f>
        <v>46.925004764598796</v>
      </c>
      <c r="N159" s="28">
        <f t="shared" ref="N159" si="214">N$92/(N158/3600)</f>
        <v>46.392839580525006</v>
      </c>
      <c r="O159" s="28">
        <f t="shared" ref="O159" si="215">O$92/(O158/3600)</f>
        <v>45.87646676545782</v>
      </c>
      <c r="P159" s="28">
        <f t="shared" ref="P159" si="216">P$92/(P158/3600)</f>
        <v>45.375241430898086</v>
      </c>
      <c r="Q159" s="28">
        <f t="shared" ref="Q159" si="217">Q$92/(Q158/3600)</f>
        <v>44.888551408123334</v>
      </c>
      <c r="R159" s="28">
        <f t="shared" ref="R159" si="218">R$92/(R158/3600)</f>
        <v>44.415815363798629</v>
      </c>
      <c r="S159" s="28">
        <f t="shared" ref="S159" si="219">S$92/(S158/3600)</f>
        <v>43.956481036278518</v>
      </c>
      <c r="T159" s="28">
        <f t="shared" ref="T159" si="220">T$92/(T158/3600)</f>
        <v>43.510023583267234</v>
      </c>
      <c r="U159" s="28">
        <f t="shared" ref="U159" si="221">U$92/(U158/3600)</f>
        <v>43.075944032423465</v>
      </c>
      <c r="V159" s="28">
        <f t="shared" ref="V159" si="222">V$92/(V158/3600)</f>
        <v>42.653767827312777</v>
      </c>
      <c r="W159" s="28"/>
      <c r="X159" s="28"/>
      <c r="Y159" s="28"/>
    </row>
    <row r="160" spans="10:25" x14ac:dyDescent="0.25">
      <c r="J160" t="s">
        <v>130</v>
      </c>
      <c r="L160" s="28">
        <f t="shared" ref="L160" si="223">K160+L159</f>
        <v>47.473641941409291</v>
      </c>
      <c r="M160" s="28">
        <f t="shared" ref="M160" si="224">L160+M159</f>
        <v>94.398646706008094</v>
      </c>
      <c r="N160" s="28">
        <f t="shared" ref="N160" si="225">M160+N159</f>
        <v>140.79148628653309</v>
      </c>
      <c r="O160" s="28">
        <f t="shared" ref="O160" si="226">N160+O159</f>
        <v>186.66795305199091</v>
      </c>
      <c r="P160" s="28">
        <f t="shared" ref="P160" si="227">O160+P159</f>
        <v>232.04319448288899</v>
      </c>
      <c r="Q160" s="28">
        <f t="shared" ref="Q160" si="228">P160+Q159</f>
        <v>276.93174589101233</v>
      </c>
      <c r="R160" s="28">
        <f t="shared" ref="R160" si="229">Q160+R159</f>
        <v>321.34756125481096</v>
      </c>
      <c r="S160" s="28">
        <f t="shared" ref="S160" si="230">R160+S159</f>
        <v>365.30404229108944</v>
      </c>
      <c r="T160" s="28">
        <f t="shared" ref="T160" si="231">S160+T159</f>
        <v>408.81406587435669</v>
      </c>
      <c r="U160" s="28">
        <f t="shared" ref="U160" si="232">T160+U159</f>
        <v>451.89000990678016</v>
      </c>
      <c r="V160" s="28">
        <f t="shared" ref="V160" si="233">U160+V159</f>
        <v>494.54377773409294</v>
      </c>
      <c r="W160" s="28"/>
      <c r="X160" s="28"/>
      <c r="Y160" s="28"/>
    </row>
    <row r="162" spans="10:25" x14ac:dyDescent="0.25">
      <c r="J162" t="s">
        <v>129</v>
      </c>
      <c r="L162" s="28">
        <f t="shared" ref="L162" si="234">L$93*3600</f>
        <v>59.811107675182065</v>
      </c>
      <c r="M162" s="28">
        <f t="shared" si="188"/>
        <v>60.089502082538587</v>
      </c>
      <c r="N162" s="28">
        <f t="shared" si="188"/>
        <v>60.365829085281085</v>
      </c>
      <c r="O162" s="28">
        <f t="shared" si="188"/>
        <v>60.640084115001159</v>
      </c>
      <c r="P162" s="28">
        <f t="shared" si="188"/>
        <v>60.91226414125908</v>
      </c>
      <c r="Q162" s="28">
        <f t="shared" si="188"/>
        <v>61.182367542280971</v>
      </c>
      <c r="R162" s="28">
        <f t="shared" si="188"/>
        <v>61.450393981087984</v>
      </c>
      <c r="S162" s="28">
        <f t="shared" si="188"/>
        <v>61.716344287591745</v>
      </c>
      <c r="T162" s="28">
        <f t="shared" si="188"/>
        <v>61.980220347080135</v>
      </c>
      <c r="U162" s="28">
        <f t="shared" si="188"/>
        <v>62.242024995414575</v>
      </c>
      <c r="V162" s="28">
        <f t="shared" si="188"/>
        <v>62.501761921161375</v>
      </c>
      <c r="W162" s="28">
        <f t="shared" si="188"/>
        <v>62.759435574790388</v>
      </c>
      <c r="X162" s="28"/>
      <c r="Y162" s="28"/>
    </row>
    <row r="163" spans="10:25" x14ac:dyDescent="0.25">
      <c r="J163" t="s">
        <v>125</v>
      </c>
      <c r="L163" s="28">
        <f>L162-$W$100</f>
        <v>23.811107675182065</v>
      </c>
      <c r="M163" s="28">
        <f t="shared" ref="M163:W163" si="235">M162-$W$100</f>
        <v>24.089502082538587</v>
      </c>
      <c r="N163" s="28">
        <f t="shared" si="235"/>
        <v>24.365829085281085</v>
      </c>
      <c r="O163" s="28">
        <f t="shared" si="235"/>
        <v>24.640084115001159</v>
      </c>
      <c r="P163" s="28">
        <f t="shared" si="235"/>
        <v>24.91226414125908</v>
      </c>
      <c r="Q163" s="28">
        <f t="shared" si="235"/>
        <v>25.182367542280971</v>
      </c>
      <c r="R163" s="28">
        <f t="shared" si="235"/>
        <v>25.450393981087984</v>
      </c>
      <c r="S163" s="28">
        <f t="shared" si="235"/>
        <v>25.716344287591745</v>
      </c>
      <c r="T163" s="28">
        <f t="shared" si="235"/>
        <v>25.980220347080135</v>
      </c>
      <c r="U163" s="28">
        <f t="shared" si="235"/>
        <v>26.242024995414575</v>
      </c>
      <c r="V163" s="28">
        <f t="shared" si="235"/>
        <v>26.501761921161375</v>
      </c>
      <c r="W163" s="28">
        <f t="shared" si="235"/>
        <v>26.759435574790388</v>
      </c>
      <c r="X163" s="28"/>
      <c r="Y163" s="28"/>
    </row>
    <row r="164" spans="10:25" x14ac:dyDescent="0.25">
      <c r="J164" t="s">
        <v>128</v>
      </c>
      <c r="L164" s="28">
        <f t="shared" ref="L164" si="236">L$92/(L163/3600)</f>
        <v>47.473641941409291</v>
      </c>
      <c r="M164" s="28">
        <f t="shared" ref="M164" si="237">M$92/(M163/3600)</f>
        <v>46.925004764598796</v>
      </c>
      <c r="N164" s="28">
        <f t="shared" ref="N164" si="238">N$92/(N163/3600)</f>
        <v>46.392839580525006</v>
      </c>
      <c r="O164" s="28">
        <f t="shared" ref="O164" si="239">O$92/(O163/3600)</f>
        <v>45.87646676545782</v>
      </c>
      <c r="P164" s="28">
        <f t="shared" ref="P164" si="240">P$92/(P163/3600)</f>
        <v>45.375241430898086</v>
      </c>
      <c r="Q164" s="28">
        <f t="shared" ref="Q164" si="241">Q$92/(Q163/3600)</f>
        <v>44.888551408123334</v>
      </c>
      <c r="R164" s="28">
        <f t="shared" ref="R164" si="242">R$92/(R163/3600)</f>
        <v>44.415815363798629</v>
      </c>
      <c r="S164" s="28">
        <f t="shared" ref="S164" si="243">S$92/(S163/3600)</f>
        <v>43.956481036278518</v>
      </c>
      <c r="T164" s="28">
        <f t="shared" ref="T164" si="244">T$92/(T163/3600)</f>
        <v>43.510023583267234</v>
      </c>
      <c r="U164" s="28">
        <f t="shared" ref="U164" si="245">U$92/(U163/3600)</f>
        <v>43.075944032423465</v>
      </c>
      <c r="V164" s="28">
        <f t="shared" ref="V164" si="246">V$92/(V163/3600)</f>
        <v>42.653767827312777</v>
      </c>
      <c r="W164" s="28">
        <f t="shared" ref="W164" si="247">W$92/(W163/3600)</f>
        <v>42.243043461830965</v>
      </c>
      <c r="X164" s="28"/>
      <c r="Y164" s="28"/>
    </row>
    <row r="165" spans="10:25" x14ac:dyDescent="0.25">
      <c r="J165" t="s">
        <v>130</v>
      </c>
      <c r="L165" s="28">
        <f t="shared" ref="L165" si="248">K165+L164</f>
        <v>47.473641941409291</v>
      </c>
      <c r="M165" s="28">
        <f t="shared" ref="M165" si="249">L165+M164</f>
        <v>94.398646706008094</v>
      </c>
      <c r="N165" s="28">
        <f t="shared" ref="N165" si="250">M165+N164</f>
        <v>140.79148628653309</v>
      </c>
      <c r="O165" s="28">
        <f t="shared" ref="O165" si="251">N165+O164</f>
        <v>186.66795305199091</v>
      </c>
      <c r="P165" s="28">
        <f t="shared" ref="P165" si="252">O165+P164</f>
        <v>232.04319448288899</v>
      </c>
      <c r="Q165" s="28">
        <f t="shared" ref="Q165" si="253">P165+Q164</f>
        <v>276.93174589101233</v>
      </c>
      <c r="R165" s="28">
        <f t="shared" ref="R165" si="254">Q165+R164</f>
        <v>321.34756125481096</v>
      </c>
      <c r="S165" s="28">
        <f t="shared" ref="S165" si="255">R165+S164</f>
        <v>365.30404229108944</v>
      </c>
      <c r="T165" s="28">
        <f t="shared" ref="T165" si="256">S165+T164</f>
        <v>408.81406587435669</v>
      </c>
      <c r="U165" s="28">
        <f t="shared" ref="U165" si="257">T165+U164</f>
        <v>451.89000990678016</v>
      </c>
      <c r="V165" s="28">
        <f t="shared" ref="V165" si="258">U165+V164</f>
        <v>494.54377773409294</v>
      </c>
      <c r="W165" s="28">
        <f t="shared" ref="W165" si="259">V165+W164</f>
        <v>536.78682119592395</v>
      </c>
      <c r="X165" s="28"/>
      <c r="Y165" s="28"/>
    </row>
    <row r="167" spans="10:25" x14ac:dyDescent="0.25">
      <c r="J167" t="s">
        <v>129</v>
      </c>
      <c r="L167" s="28">
        <f t="shared" ref="L167" si="260">L$93*3600</f>
        <v>59.811107675182065</v>
      </c>
      <c r="M167" s="28">
        <f t="shared" si="188"/>
        <v>60.089502082538587</v>
      </c>
      <c r="N167" s="28">
        <f t="shared" si="188"/>
        <v>60.365829085281085</v>
      </c>
      <c r="O167" s="28">
        <f t="shared" si="188"/>
        <v>60.640084115001159</v>
      </c>
      <c r="P167" s="28">
        <f t="shared" si="188"/>
        <v>60.91226414125908</v>
      </c>
      <c r="Q167" s="28">
        <f t="shared" si="188"/>
        <v>61.182367542280971</v>
      </c>
      <c r="R167" s="28">
        <f t="shared" si="188"/>
        <v>61.450393981087984</v>
      </c>
      <c r="S167" s="28">
        <f t="shared" si="188"/>
        <v>61.716344287591745</v>
      </c>
      <c r="T167" s="28">
        <f t="shared" si="188"/>
        <v>61.980220347080135</v>
      </c>
      <c r="U167" s="28">
        <f t="shared" si="188"/>
        <v>62.242024995414575</v>
      </c>
      <c r="V167" s="28">
        <f t="shared" si="188"/>
        <v>62.501761921161375</v>
      </c>
      <c r="W167" s="28">
        <f t="shared" si="188"/>
        <v>62.759435574790388</v>
      </c>
      <c r="X167" s="28">
        <f t="shared" si="188"/>
        <v>63.01505108499024</v>
      </c>
      <c r="Y167" s="28"/>
    </row>
    <row r="168" spans="10:25" x14ac:dyDescent="0.25">
      <c r="J168" t="s">
        <v>125</v>
      </c>
      <c r="L168" s="28">
        <f>L167-$X$100</f>
        <v>23.811107675182065</v>
      </c>
      <c r="M168" s="28">
        <f t="shared" ref="M168:X168" si="261">M167-$X$100</f>
        <v>24.089502082538587</v>
      </c>
      <c r="N168" s="28">
        <f t="shared" si="261"/>
        <v>24.365829085281085</v>
      </c>
      <c r="O168" s="28">
        <f t="shared" si="261"/>
        <v>24.640084115001159</v>
      </c>
      <c r="P168" s="28">
        <f t="shared" si="261"/>
        <v>24.91226414125908</v>
      </c>
      <c r="Q168" s="28">
        <f t="shared" si="261"/>
        <v>25.182367542280971</v>
      </c>
      <c r="R168" s="28">
        <f t="shared" si="261"/>
        <v>25.450393981087984</v>
      </c>
      <c r="S168" s="28">
        <f t="shared" si="261"/>
        <v>25.716344287591745</v>
      </c>
      <c r="T168" s="28">
        <f t="shared" si="261"/>
        <v>25.980220347080135</v>
      </c>
      <c r="U168" s="28">
        <f t="shared" si="261"/>
        <v>26.242024995414575</v>
      </c>
      <c r="V168" s="28">
        <f t="shared" si="261"/>
        <v>26.501761921161375</v>
      </c>
      <c r="W168" s="28">
        <f t="shared" si="261"/>
        <v>26.759435574790388</v>
      </c>
      <c r="X168" s="28">
        <f t="shared" si="261"/>
        <v>27.01505108499024</v>
      </c>
      <c r="Y168" s="28"/>
    </row>
    <row r="169" spans="10:25" x14ac:dyDescent="0.25">
      <c r="J169" t="s">
        <v>128</v>
      </c>
      <c r="L169" s="28">
        <f t="shared" ref="L169" si="262">L$92/(L168/3600)</f>
        <v>47.473641941409291</v>
      </c>
      <c r="M169" s="28">
        <f t="shared" ref="M169" si="263">M$92/(M168/3600)</f>
        <v>46.925004764598796</v>
      </c>
      <c r="N169" s="28">
        <f t="shared" ref="N169" si="264">N$92/(N168/3600)</f>
        <v>46.392839580525006</v>
      </c>
      <c r="O169" s="28">
        <f t="shared" ref="O169" si="265">O$92/(O168/3600)</f>
        <v>45.87646676545782</v>
      </c>
      <c r="P169" s="28">
        <f t="shared" ref="P169" si="266">P$92/(P168/3600)</f>
        <v>45.375241430898086</v>
      </c>
      <c r="Q169" s="28">
        <f t="shared" ref="Q169" si="267">Q$92/(Q168/3600)</f>
        <v>44.888551408123334</v>
      </c>
      <c r="R169" s="28">
        <f t="shared" ref="R169" si="268">R$92/(R168/3600)</f>
        <v>44.415815363798629</v>
      </c>
      <c r="S169" s="28">
        <f t="shared" ref="S169" si="269">S$92/(S168/3600)</f>
        <v>43.956481036278518</v>
      </c>
      <c r="T169" s="28">
        <f t="shared" ref="T169" si="270">T$92/(T168/3600)</f>
        <v>43.510023583267234</v>
      </c>
      <c r="U169" s="28">
        <f t="shared" ref="U169" si="271">U$92/(U168/3600)</f>
        <v>43.075944032423465</v>
      </c>
      <c r="V169" s="28">
        <f t="shared" ref="V169" si="272">V$92/(V168/3600)</f>
        <v>42.653767827312777</v>
      </c>
      <c r="W169" s="28">
        <f t="shared" ref="W169" si="273">W$92/(W168/3600)</f>
        <v>42.243043461830965</v>
      </c>
      <c r="X169" s="28">
        <f t="shared" ref="X169" si="274">X$92/(X168/3600)</f>
        <v>41.843341196863193</v>
      </c>
      <c r="Y169" s="28"/>
    </row>
    <row r="170" spans="10:25" x14ac:dyDescent="0.25">
      <c r="J170" t="s">
        <v>130</v>
      </c>
      <c r="L170" s="28">
        <f t="shared" ref="L170" si="275">K170+L169</f>
        <v>47.473641941409291</v>
      </c>
      <c r="M170" s="28">
        <f t="shared" ref="M170" si="276">L170+M169</f>
        <v>94.398646706008094</v>
      </c>
      <c r="N170" s="28">
        <f t="shared" ref="N170" si="277">M170+N169</f>
        <v>140.79148628653309</v>
      </c>
      <c r="O170" s="28">
        <f t="shared" ref="O170" si="278">N170+O169</f>
        <v>186.66795305199091</v>
      </c>
      <c r="P170" s="28">
        <f t="shared" ref="P170" si="279">O170+P169</f>
        <v>232.04319448288899</v>
      </c>
      <c r="Q170" s="28">
        <f t="shared" ref="Q170" si="280">P170+Q169</f>
        <v>276.93174589101233</v>
      </c>
      <c r="R170" s="28">
        <f t="shared" ref="R170" si="281">Q170+R169</f>
        <v>321.34756125481096</v>
      </c>
      <c r="S170" s="28">
        <f t="shared" ref="S170" si="282">R170+S169</f>
        <v>365.30404229108944</v>
      </c>
      <c r="T170" s="28">
        <f t="shared" ref="T170" si="283">S170+T169</f>
        <v>408.81406587435669</v>
      </c>
      <c r="U170" s="28">
        <f t="shared" ref="U170" si="284">T170+U169</f>
        <v>451.89000990678016</v>
      </c>
      <c r="V170" s="28">
        <f t="shared" ref="V170" si="285">U170+V169</f>
        <v>494.54377773409294</v>
      </c>
      <c r="W170" s="28">
        <f t="shared" ref="W170" si="286">V170+W169</f>
        <v>536.78682119592395</v>
      </c>
      <c r="X170" s="28">
        <f t="shared" ref="X170" si="287">W170+X169</f>
        <v>578.63016239278716</v>
      </c>
      <c r="Y170" s="28"/>
    </row>
    <row r="172" spans="10:25" x14ac:dyDescent="0.25">
      <c r="J172" t="s">
        <v>129</v>
      </c>
      <c r="L172" s="28">
        <f t="shared" ref="L172" si="288">L$93*3600</f>
        <v>59.811107675182065</v>
      </c>
      <c r="M172" s="28">
        <f t="shared" si="188"/>
        <v>60.089502082538587</v>
      </c>
      <c r="N172" s="28">
        <f t="shared" si="188"/>
        <v>60.365829085281085</v>
      </c>
      <c r="O172" s="28">
        <f t="shared" si="188"/>
        <v>60.640084115001159</v>
      </c>
      <c r="P172" s="28">
        <f t="shared" si="188"/>
        <v>60.91226414125908</v>
      </c>
      <c r="Q172" s="28">
        <f t="shared" si="188"/>
        <v>61.182367542280971</v>
      </c>
      <c r="R172" s="28">
        <f t="shared" si="188"/>
        <v>61.450393981087984</v>
      </c>
      <c r="S172" s="28">
        <f t="shared" si="188"/>
        <v>61.716344287591745</v>
      </c>
      <c r="T172" s="28">
        <f t="shared" si="188"/>
        <v>61.980220347080135</v>
      </c>
      <c r="U172" s="28">
        <f t="shared" si="188"/>
        <v>62.242024995414575</v>
      </c>
      <c r="V172" s="28">
        <f t="shared" si="188"/>
        <v>62.501761921161375</v>
      </c>
      <c r="W172" s="28">
        <f t="shared" si="188"/>
        <v>62.759435574790388</v>
      </c>
      <c r="X172" s="28">
        <f t="shared" si="188"/>
        <v>63.01505108499024</v>
      </c>
      <c r="Y172" s="28">
        <f t="shared" si="188"/>
        <v>63.268614182074437</v>
      </c>
    </row>
    <row r="173" spans="10:25" x14ac:dyDescent="0.25">
      <c r="J173" t="s">
        <v>125</v>
      </c>
      <c r="L173" s="28">
        <f>L172-$Y$100</f>
        <v>23.811107675182065</v>
      </c>
      <c r="M173" s="28">
        <f t="shared" ref="M173:Y173" si="289">M172-$Y$100</f>
        <v>24.089502082538587</v>
      </c>
      <c r="N173" s="28">
        <f t="shared" si="289"/>
        <v>24.365829085281085</v>
      </c>
      <c r="O173" s="28">
        <f t="shared" si="289"/>
        <v>24.640084115001159</v>
      </c>
      <c r="P173" s="28">
        <f t="shared" si="289"/>
        <v>24.91226414125908</v>
      </c>
      <c r="Q173" s="28">
        <f t="shared" si="289"/>
        <v>25.182367542280971</v>
      </c>
      <c r="R173" s="28">
        <f t="shared" si="289"/>
        <v>25.450393981087984</v>
      </c>
      <c r="S173" s="28">
        <f t="shared" si="289"/>
        <v>25.716344287591745</v>
      </c>
      <c r="T173" s="28">
        <f t="shared" si="289"/>
        <v>25.980220347080135</v>
      </c>
      <c r="U173" s="28">
        <f t="shared" si="289"/>
        <v>26.242024995414575</v>
      </c>
      <c r="V173" s="28">
        <f t="shared" si="289"/>
        <v>26.501761921161375</v>
      </c>
      <c r="W173" s="28">
        <f t="shared" si="289"/>
        <v>26.759435574790388</v>
      </c>
      <c r="X173" s="28">
        <f t="shared" si="289"/>
        <v>27.01505108499024</v>
      </c>
      <c r="Y173" s="28">
        <f t="shared" si="289"/>
        <v>27.268614182074437</v>
      </c>
    </row>
    <row r="174" spans="10:25" x14ac:dyDescent="0.25">
      <c r="J174" t="s">
        <v>128</v>
      </c>
      <c r="L174" s="28">
        <f t="shared" ref="L174" si="290">L$92/(L173/3600)</f>
        <v>47.473641941409291</v>
      </c>
      <c r="M174" s="28">
        <f t="shared" ref="M174" si="291">M$92/(M173/3600)</f>
        <v>46.925004764598796</v>
      </c>
      <c r="N174" s="28">
        <f t="shared" ref="N174" si="292">N$92/(N173/3600)</f>
        <v>46.392839580525006</v>
      </c>
      <c r="O174" s="28">
        <f t="shared" ref="O174" si="293">O$92/(O173/3600)</f>
        <v>45.87646676545782</v>
      </c>
      <c r="P174" s="28">
        <f t="shared" ref="P174" si="294">P$92/(P173/3600)</f>
        <v>45.375241430898086</v>
      </c>
      <c r="Q174" s="28">
        <f t="shared" ref="Q174" si="295">Q$92/(Q173/3600)</f>
        <v>44.888551408123334</v>
      </c>
      <c r="R174" s="28">
        <f t="shared" ref="R174" si="296">R$92/(R173/3600)</f>
        <v>44.415815363798629</v>
      </c>
      <c r="S174" s="28">
        <f t="shared" ref="S174" si="297">S$92/(S173/3600)</f>
        <v>43.956481036278518</v>
      </c>
      <c r="T174" s="28">
        <f t="shared" ref="T174" si="298">T$92/(T173/3600)</f>
        <v>43.510023583267234</v>
      </c>
      <c r="U174" s="28">
        <f t="shared" ref="U174" si="299">U$92/(U173/3600)</f>
        <v>43.075944032423465</v>
      </c>
      <c r="V174" s="28">
        <f t="shared" ref="V174" si="300">V$92/(V173/3600)</f>
        <v>42.653767827312777</v>
      </c>
      <c r="W174" s="28">
        <f t="shared" ref="W174" si="301">W$92/(W173/3600)</f>
        <v>42.243043461830965</v>
      </c>
      <c r="X174" s="28">
        <f t="shared" ref="X174" si="302">X$92/(X173/3600)</f>
        <v>41.843341196863193</v>
      </c>
      <c r="Y174" s="28">
        <f t="shared" ref="Y174" si="303">Y$92/(Y173/3600)</f>
        <v>41.45425185351101</v>
      </c>
    </row>
    <row r="175" spans="10:25" x14ac:dyDescent="0.25">
      <c r="J175" t="s">
        <v>130</v>
      </c>
      <c r="L175" s="28">
        <f t="shared" ref="L175" si="304">K175+L174</f>
        <v>47.473641941409291</v>
      </c>
      <c r="M175" s="28">
        <f t="shared" ref="M175" si="305">L175+M174</f>
        <v>94.398646706008094</v>
      </c>
      <c r="N175" s="28">
        <f t="shared" ref="N175" si="306">M175+N174</f>
        <v>140.79148628653309</v>
      </c>
      <c r="O175" s="28">
        <f t="shared" ref="O175" si="307">N175+O174</f>
        <v>186.66795305199091</v>
      </c>
      <c r="P175" s="28">
        <f t="shared" ref="P175" si="308">O175+P174</f>
        <v>232.04319448288899</v>
      </c>
      <c r="Q175" s="28">
        <f t="shared" ref="Q175" si="309">P175+Q174</f>
        <v>276.93174589101233</v>
      </c>
      <c r="R175" s="28">
        <f t="shared" ref="R175" si="310">Q175+R174</f>
        <v>321.34756125481096</v>
      </c>
      <c r="S175" s="28">
        <f t="shared" ref="S175" si="311">R175+S174</f>
        <v>365.30404229108944</v>
      </c>
      <c r="T175" s="28">
        <f t="shared" ref="T175" si="312">S175+T174</f>
        <v>408.81406587435669</v>
      </c>
      <c r="U175" s="28">
        <f t="shared" ref="U175" si="313">T175+U174</f>
        <v>451.89000990678016</v>
      </c>
      <c r="V175" s="28">
        <f t="shared" ref="V175" si="314">U175+V174</f>
        <v>494.54377773409294</v>
      </c>
      <c r="W175" s="28">
        <f t="shared" ref="W175" si="315">V175+W174</f>
        <v>536.78682119592395</v>
      </c>
      <c r="X175" s="28">
        <f t="shared" ref="X175" si="316">W175+X174</f>
        <v>578.63016239278716</v>
      </c>
      <c r="Y175" s="28">
        <f t="shared" ref="Y175" si="317">X175+Y174</f>
        <v>620.08441424629814</v>
      </c>
    </row>
    <row r="177" spans="12:25" x14ac:dyDescent="0.25"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</row>
    <row r="178" spans="12:25" x14ac:dyDescent="0.25"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</row>
    <row r="179" spans="12:25" x14ac:dyDescent="0.25"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</row>
    <row r="180" spans="12:25" x14ac:dyDescent="0.25"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</row>
    <row r="182" spans="12:25" x14ac:dyDescent="0.25"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</row>
    <row r="183" spans="12:25" x14ac:dyDescent="0.25"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</row>
    <row r="184" spans="12:25" x14ac:dyDescent="0.25"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</row>
    <row r="185" spans="12:25" x14ac:dyDescent="0.25"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</row>
  </sheetData>
  <mergeCells count="11">
    <mergeCell ref="U57:AD57"/>
    <mergeCell ref="K56:S56"/>
    <mergeCell ref="K57:T57"/>
    <mergeCell ref="A33:A42"/>
    <mergeCell ref="A43:A51"/>
    <mergeCell ref="I77:I78"/>
    <mergeCell ref="C2:D2"/>
    <mergeCell ref="C3:D3"/>
    <mergeCell ref="C4:D4"/>
    <mergeCell ref="C5:D5"/>
    <mergeCell ref="C6:D6"/>
  </mergeCells>
  <phoneticPr fontId="7" type="noConversion"/>
  <conditionalFormatting sqref="E38">
    <cfRule type="cellIs" dxfId="14" priority="6" operator="greaterThan">
      <formula>$G$33</formula>
    </cfRule>
    <cfRule type="cellIs" dxfId="13" priority="7" operator="lessThan">
      <formula>$E$33</formula>
    </cfRule>
  </conditionalFormatting>
  <conditionalFormatting sqref="E47">
    <cfRule type="cellIs" dxfId="12" priority="4" operator="lessThan">
      <formula>$E$43</formula>
    </cfRule>
    <cfRule type="cellIs" dxfId="11" priority="5" operator="greaterThan">
      <formula>$G$43</formula>
    </cfRule>
  </conditionalFormatting>
  <conditionalFormatting sqref="L105:Y105">
    <cfRule type="cellIs" dxfId="10" priority="3" operator="greaterThan">
      <formula>$G$15</formula>
    </cfRule>
  </conditionalFormatting>
  <conditionalFormatting sqref="K87">
    <cfRule type="cellIs" dxfId="9" priority="2" operator="lessThan">
      <formula>$E$25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58395-03EB-4829-B4C4-DB12AAA16CFB}">
  <sheetPr codeName="Arkusz2"/>
  <dimension ref="B1:AJ141"/>
  <sheetViews>
    <sheetView topLeftCell="A25" workbookViewId="0">
      <selection activeCell="E50" sqref="E50:E51"/>
    </sheetView>
  </sheetViews>
  <sheetFormatPr defaultRowHeight="15" x14ac:dyDescent="0.25"/>
  <cols>
    <col min="1" max="1" width="4.7109375" customWidth="1"/>
    <col min="2" max="2" width="46.140625" customWidth="1"/>
    <col min="3" max="3" width="9.42578125" style="2" customWidth="1"/>
    <col min="4" max="4" width="1.7109375" customWidth="1"/>
    <col min="5" max="5" width="13.85546875" style="7" customWidth="1"/>
    <col min="7" max="7" width="9.5703125" bestFit="1" customWidth="1"/>
    <col min="9" max="9" width="38.28515625" customWidth="1"/>
    <col min="10" max="10" width="41.28515625" customWidth="1"/>
    <col min="11" max="26" width="10.140625" customWidth="1"/>
  </cols>
  <sheetData>
    <row r="1" spans="2:36" ht="33.75" x14ac:dyDescent="0.5">
      <c r="B1" s="1" t="s">
        <v>11</v>
      </c>
    </row>
    <row r="2" spans="2:36" x14ac:dyDescent="0.25">
      <c r="B2" t="s">
        <v>42</v>
      </c>
      <c r="C2" s="61" t="s">
        <v>37</v>
      </c>
      <c r="D2" s="61"/>
      <c r="E2" s="6"/>
    </row>
    <row r="3" spans="2:36" x14ac:dyDescent="0.25">
      <c r="B3" t="s">
        <v>41</v>
      </c>
      <c r="C3" s="61" t="s">
        <v>38</v>
      </c>
      <c r="D3" s="61"/>
      <c r="E3" s="8"/>
    </row>
    <row r="4" spans="2:36" x14ac:dyDescent="0.25">
      <c r="B4" t="s">
        <v>43</v>
      </c>
      <c r="C4" s="61"/>
      <c r="D4" s="61"/>
      <c r="E4" s="9"/>
    </row>
    <row r="5" spans="2:36" x14ac:dyDescent="0.25">
      <c r="B5" t="s">
        <v>44</v>
      </c>
      <c r="C5" s="61" t="s">
        <v>37</v>
      </c>
      <c r="D5" s="61"/>
      <c r="E5" s="18"/>
    </row>
    <row r="6" spans="2:36" x14ac:dyDescent="0.25">
      <c r="B6" t="s">
        <v>122</v>
      </c>
      <c r="C6" s="61" t="s">
        <v>123</v>
      </c>
      <c r="D6" s="61"/>
      <c r="E6" s="34"/>
    </row>
    <row r="7" spans="2:36" x14ac:dyDescent="0.25">
      <c r="C7" s="49"/>
      <c r="D7" s="49"/>
      <c r="E7" s="35"/>
    </row>
    <row r="11" spans="2:36" ht="33.75" x14ac:dyDescent="0.5">
      <c r="B11" s="1" t="s">
        <v>70</v>
      </c>
      <c r="C11"/>
      <c r="J11" s="1" t="s">
        <v>106</v>
      </c>
    </row>
    <row r="12" spans="2:36" x14ac:dyDescent="0.25">
      <c r="C12" t="s">
        <v>156</v>
      </c>
      <c r="D12" t="s">
        <v>23</v>
      </c>
      <c r="E12" s="17">
        <v>2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W12" t="s">
        <v>158</v>
      </c>
      <c r="Z12" s="56">
        <v>1</v>
      </c>
    </row>
    <row r="13" spans="2:36" x14ac:dyDescent="0.25">
      <c r="C13"/>
      <c r="K13" s="62" t="s">
        <v>62</v>
      </c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X13" s="53" t="s">
        <v>63</v>
      </c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</row>
    <row r="14" spans="2:36" x14ac:dyDescent="0.25">
      <c r="C14"/>
      <c r="E14" s="7" t="s">
        <v>134</v>
      </c>
      <c r="F14" t="s">
        <v>135</v>
      </c>
      <c r="G14" t="s">
        <v>136</v>
      </c>
      <c r="H14" t="s">
        <v>69</v>
      </c>
      <c r="K14" t="s">
        <v>157</v>
      </c>
      <c r="L14" t="s">
        <v>108</v>
      </c>
      <c r="M14" t="s">
        <v>139</v>
      </c>
      <c r="N14" t="s">
        <v>140</v>
      </c>
      <c r="O14" t="s">
        <v>141</v>
      </c>
      <c r="P14" t="s">
        <v>89</v>
      </c>
      <c r="Q14" t="s">
        <v>143</v>
      </c>
      <c r="R14" t="s">
        <v>144</v>
      </c>
      <c r="S14" t="s">
        <v>145</v>
      </c>
      <c r="T14" t="s">
        <v>107</v>
      </c>
      <c r="U14" t="s">
        <v>146</v>
      </c>
      <c r="V14" s="50" t="s">
        <v>160</v>
      </c>
      <c r="X14" t="s">
        <v>159</v>
      </c>
      <c r="Y14" t="s">
        <v>108</v>
      </c>
      <c r="Z14" t="s">
        <v>139</v>
      </c>
      <c r="AA14" t="s">
        <v>140</v>
      </c>
      <c r="AB14" t="s">
        <v>141</v>
      </c>
      <c r="AC14" t="s">
        <v>89</v>
      </c>
      <c r="AD14" t="s">
        <v>143</v>
      </c>
      <c r="AE14" t="s">
        <v>144</v>
      </c>
      <c r="AF14" t="s">
        <v>145</v>
      </c>
      <c r="AG14" t="s">
        <v>107</v>
      </c>
      <c r="AH14" t="s">
        <v>146</v>
      </c>
      <c r="AI14" t="s">
        <v>147</v>
      </c>
      <c r="AJ14" t="s">
        <v>163</v>
      </c>
    </row>
    <row r="15" spans="2:36" x14ac:dyDescent="0.25">
      <c r="B15" s="41"/>
      <c r="C15" t="s">
        <v>71</v>
      </c>
      <c r="D15" t="s">
        <v>48</v>
      </c>
      <c r="E15" s="44">
        <f>G15/1000</f>
        <v>2.4E-2</v>
      </c>
      <c r="F15" s="47">
        <f>E15*3600</f>
        <v>86.4</v>
      </c>
      <c r="G15" s="5">
        <f>'1 pompa'!G59*E$12</f>
        <v>24</v>
      </c>
      <c r="H15" s="54">
        <f>'1 pompa'!H59</f>
        <v>19.600000000000001</v>
      </c>
      <c r="I15" s="28"/>
      <c r="K15" s="48">
        <f>E15/E$12</f>
        <v>1.2E-2</v>
      </c>
      <c r="L15" s="5">
        <f>K15/'1 pompa'!$G$35</f>
        <v>1.2633573722166658</v>
      </c>
      <c r="M15" s="11">
        <f>('1 pompa'!$E$35/1000)*L15/'1 pompa'!$E$20</f>
        <v>138030.70216908347</v>
      </c>
      <c r="N15" s="52">
        <f>1/(1+POWER((M15/2712), 8.4))</f>
        <v>4.6114499411789594E-15</v>
      </c>
      <c r="O15" s="48">
        <f>1/(1+(POWER(M15/(150*(('1 pompa'!$E$35/1000)/'1 pompa'!$E$42)),1.8)))</f>
        <v>3.1622595672045888E-2</v>
      </c>
      <c r="P15" s="5">
        <f>POWER((64/M15), N15)</f>
        <v>0.99999999999996458</v>
      </c>
      <c r="Q15" s="48">
        <f>POWER(0.75*LN(M15/5.37), 2*(N15-1)*O15)</f>
        <v>0.87949975552269399</v>
      </c>
      <c r="R15" s="48">
        <f>POWER(0.88*LN(3.41*('1 pompa'!$E$35/1000/'1 pompa'!$E$42)), 2*(N15-1)*(1-O15))</f>
        <v>3.7985670485573123E-2</v>
      </c>
      <c r="S15" s="48">
        <f>P15*Q15*R15</f>
        <v>3.3408387905425989E-2</v>
      </c>
      <c r="T15" s="31">
        <f>'1 pompa'!$E$34*S15*POWER(L15, 2)/(2*9.81*'1 pompa'!$E$35/1000)</f>
        <v>0.14824072139986813</v>
      </c>
      <c r="U15" s="31">
        <f>POWER(L15, 2)*'1 pompa'!$E$39/(2*9.81)</f>
        <v>0.27496039004982631</v>
      </c>
      <c r="V15" s="31">
        <f>T15+U15</f>
        <v>0.42320111144969441</v>
      </c>
      <c r="X15" s="48">
        <f t="shared" ref="X15:X29" si="0">E15/Z$12</f>
        <v>2.4E-2</v>
      </c>
      <c r="Y15" s="5">
        <f>X15/'1 pompa'!$G$44</f>
        <v>0.94361877801368255</v>
      </c>
      <c r="Z15" s="11">
        <f>('1 pompa'!$E$44/1000)*Y15/'1 pompa'!$E$20</f>
        <v>168704.19153999092</v>
      </c>
      <c r="AA15" s="52">
        <f>1/(1+POWER((Z15/2712), 8.4))</f>
        <v>8.5462584546936258E-16</v>
      </c>
      <c r="AB15" s="48">
        <f>1/(1+(POWER(Z15/(150*(('1 pompa'!$E$44/1000)/'1 pompa'!$E$51)),1.8)))</f>
        <v>0.11400257384734747</v>
      </c>
      <c r="AC15" s="5">
        <f>POWER((64/Z15), AA15)</f>
        <v>0.99999999999999323</v>
      </c>
      <c r="AD15" s="48">
        <f>POWER(0.75*LN(Z15/5.37), 2*(AA15-1)*AB15)</f>
        <v>0.62665212435827966</v>
      </c>
      <c r="AE15" s="48">
        <f>POWER(0.88*LN(3.41*('1 pompa'!$E$44/1000/'1 pompa'!$E$51)), 2*(AA15-1)*(1-AB15))</f>
        <v>3.877600840669574E-2</v>
      </c>
      <c r="AF15" s="48">
        <f>AC15*AD15*AE15</f>
        <v>2.4299068042190234E-2</v>
      </c>
      <c r="AG15" s="31">
        <f>'1 pompa'!$E$16*AF15*POWER(Y15, 2)/(2*9.81*'1 pompa'!$E$44/1000)</f>
        <v>15.316208408533379</v>
      </c>
      <c r="AH15" s="31">
        <f>POWER(Y15, 2)*'1 pompa'!$E$48/(2*9.81)</f>
        <v>0</v>
      </c>
      <c r="AI15" s="31">
        <f>AG15+AH15</f>
        <v>15.316208408533379</v>
      </c>
      <c r="AJ15" s="55">
        <f t="shared" ref="AJ15:AJ29" si="1">AI15+V15+K$34</f>
        <v>25.998326717435308</v>
      </c>
    </row>
    <row r="16" spans="2:36" x14ac:dyDescent="0.25">
      <c r="B16" s="41"/>
      <c r="C16" t="s">
        <v>72</v>
      </c>
      <c r="D16" t="s">
        <v>48</v>
      </c>
      <c r="E16" s="44">
        <f t="shared" ref="E16:E29" si="2">G16/1000</f>
        <v>2.5999999999999999E-2</v>
      </c>
      <c r="F16" s="47">
        <f t="shared" ref="F16:F23" si="3">E16*3600</f>
        <v>93.6</v>
      </c>
      <c r="G16" s="5">
        <f>'1 pompa'!G60*E$12</f>
        <v>26</v>
      </c>
      <c r="H16" s="54">
        <f>'1 pompa'!H60</f>
        <v>19.2</v>
      </c>
      <c r="I16" s="28"/>
      <c r="K16" s="48">
        <f t="shared" ref="K16:K29" si="4">E16/E$12</f>
        <v>1.2999999999999999E-2</v>
      </c>
      <c r="L16" s="5">
        <f>K16/'1 pompa'!$G$35</f>
        <v>1.3686371532347212</v>
      </c>
      <c r="M16" s="11">
        <f>('1 pompa'!$E$35/1000)*L16/'1 pompa'!$E$20</f>
        <v>149533.26068317375</v>
      </c>
      <c r="N16" s="52">
        <f t="shared" ref="N16:N29" si="5">1/(1+POWER((M16/2712), 8.4))</f>
        <v>2.3541590772179867E-15</v>
      </c>
      <c r="O16" s="48">
        <f>1/(1+(POWER(M16/(150*(('1 pompa'!$E$35/1000)/'1 pompa'!$E$42)),1.8)))</f>
        <v>2.7496181870216293E-2</v>
      </c>
      <c r="P16" s="5">
        <f t="shared" ref="P16:P29" si="6">POWER((64/M16), N16)</f>
        <v>0.99999999999998179</v>
      </c>
      <c r="Q16" s="48">
        <f t="shared" ref="Q16:Q29" si="7">POWER(0.75*LN(M16/5.37), 2*(N16-1)*O16)</f>
        <v>0.89397392237884998</v>
      </c>
      <c r="R16" s="48">
        <f>POWER(0.88*LN(3.41*('1 pompa'!$E$35/1000/'1 pompa'!$E$42)), 2*(N16-1)*(1-O16))</f>
        <v>3.7459961373150621E-2</v>
      </c>
      <c r="S16" s="48">
        <f t="shared" ref="S16:S29" si="8">P16*Q16*R16</f>
        <v>3.3488228600915063E-2</v>
      </c>
      <c r="T16" s="31">
        <f>'1 pompa'!$E$34*S16*POWER(L16, 2)/(2*9.81*'1 pompa'!$E$35/1000)</f>
        <v>0.17439273481411655</v>
      </c>
      <c r="U16" s="31">
        <f>POWER(L16, 2)*'1 pompa'!$E$39/(2*9.81)</f>
        <v>0.32269656887792114</v>
      </c>
      <c r="V16" s="31">
        <f t="shared" ref="V16:V29" si="9">T16+U16</f>
        <v>0.49708930369203769</v>
      </c>
      <c r="X16" s="48">
        <f t="shared" si="0"/>
        <v>2.5999999999999999E-2</v>
      </c>
      <c r="Y16" s="5">
        <f>X16/'1 pompa'!$G$44</f>
        <v>1.0222536761814893</v>
      </c>
      <c r="Z16" s="11">
        <f>('1 pompa'!$E$44/1000)*Y16/'1 pompa'!$E$20</f>
        <v>182762.87416832347</v>
      </c>
      <c r="AA16" s="52">
        <f t="shared" ref="AA16:AA28" si="10">1/(1+POWER((Z16/2712), 8.4))</f>
        <v>4.3628906686612325E-16</v>
      </c>
      <c r="AB16" s="48">
        <f>1/(1+(POWER(Z16/(150*(('1 pompa'!$E$44/1000)/'1 pompa'!$E$51)),1.8)))</f>
        <v>0.10023917536566017</v>
      </c>
      <c r="AC16" s="5">
        <f t="shared" ref="AC16:AC28" si="11">POWER((64/Z16), AA16)</f>
        <v>0.99999999999999656</v>
      </c>
      <c r="AD16" s="48">
        <f t="shared" ref="AD16:AD28" si="12">POWER(0.75*LN(Z16/5.37), 2*(AA16-1)*AB16)</f>
        <v>0.66200435899694843</v>
      </c>
      <c r="AE16" s="48">
        <f>POWER(0.88*LN(3.41*('1 pompa'!$E$44/1000/'1 pompa'!$E$51)), 2*(AA16-1)*(1-AB16))</f>
        <v>3.6866960966063206E-2</v>
      </c>
      <c r="AF16" s="48">
        <f t="shared" ref="AF16:AF28" si="13">AC16*AD16*AE16</f>
        <v>2.4406088862504106E-2</v>
      </c>
      <c r="AG16" s="31">
        <f>'1 pompa'!$E$16*AF16*POWER(Y16, 2)/(2*9.81*'1 pompa'!$E$44/1000)</f>
        <v>18.054441182184426</v>
      </c>
      <c r="AH16" s="31">
        <f>POWER(Y16, 2)*'1 pompa'!$E$48/(2*9.81)</f>
        <v>0</v>
      </c>
      <c r="AI16" s="31">
        <f t="shared" ref="AI16:AI28" si="14">AG16+AH16</f>
        <v>18.054441182184426</v>
      </c>
      <c r="AJ16" s="55">
        <f t="shared" si="1"/>
        <v>28.8104476833287</v>
      </c>
    </row>
    <row r="17" spans="2:36" x14ac:dyDescent="0.25">
      <c r="B17" s="41"/>
      <c r="C17" t="s">
        <v>73</v>
      </c>
      <c r="D17" t="s">
        <v>48</v>
      </c>
      <c r="E17" s="44">
        <f t="shared" si="2"/>
        <v>2.8000000000000001E-2</v>
      </c>
      <c r="F17" s="47">
        <f t="shared" si="3"/>
        <v>100.8</v>
      </c>
      <c r="G17" s="5">
        <f>'1 pompa'!G61*E$12</f>
        <v>28</v>
      </c>
      <c r="H17" s="54">
        <f>'1 pompa'!H61</f>
        <v>18.899999999999999</v>
      </c>
      <c r="I17" s="28"/>
      <c r="K17" s="48">
        <f t="shared" si="4"/>
        <v>1.4E-2</v>
      </c>
      <c r="L17" s="5">
        <f>K17/'1 pompa'!$G$35</f>
        <v>1.4739169342527767</v>
      </c>
      <c r="M17" s="11">
        <f>('1 pompa'!$E$35/1000)*L17/'1 pompa'!$E$20</f>
        <v>161035.81919726403</v>
      </c>
      <c r="N17" s="52">
        <f t="shared" si="5"/>
        <v>1.2632359182284018E-15</v>
      </c>
      <c r="O17" s="48">
        <f>1/(1+(POWER(M17/(150*(('1 pompa'!$E$35/1000)/'1 pompa'!$E$42)),1.8)))</f>
        <v>2.4145365048296501E-2</v>
      </c>
      <c r="P17" s="5">
        <f t="shared" si="6"/>
        <v>0.99999999999999012</v>
      </c>
      <c r="Q17" s="48">
        <f t="shared" si="7"/>
        <v>0.9059522821164272</v>
      </c>
      <c r="R17" s="48">
        <f>POWER(0.88*LN(3.41*('1 pompa'!$E$35/1000/'1 pompa'!$E$42)), 2*(N17-1)*(1-O17))</f>
        <v>3.7038421602644152E-2</v>
      </c>
      <c r="S17" s="48">
        <f t="shared" si="8"/>
        <v>3.355504257690551E-2</v>
      </c>
      <c r="T17" s="31">
        <f>'1 pompa'!$E$34*S17*POWER(L17, 2)/(2*9.81*'1 pompa'!$E$35/1000)</f>
        <v>0.20265782327377574</v>
      </c>
      <c r="U17" s="31">
        <f>POWER(L17, 2)*'1 pompa'!$E$39/(2*9.81)</f>
        <v>0.37425164201226357</v>
      </c>
      <c r="V17" s="31">
        <f t="shared" si="9"/>
        <v>0.57690946528603937</v>
      </c>
      <c r="X17" s="48">
        <f t="shared" si="0"/>
        <v>2.8000000000000001E-2</v>
      </c>
      <c r="Y17" s="5">
        <f>X17/'1 pompa'!$G$44</f>
        <v>1.1008885743492962</v>
      </c>
      <c r="Z17" s="11">
        <f>('1 pompa'!$E$44/1000)*Y17/'1 pompa'!$E$20</f>
        <v>196821.55679665605</v>
      </c>
      <c r="AA17" s="52">
        <f t="shared" si="10"/>
        <v>2.3411163048800461E-16</v>
      </c>
      <c r="AB17" s="48">
        <f>1/(1+(POWER(Z17/(150*(('1 pompa'!$E$44/1000)/'1 pompa'!$E$51)),1.8)))</f>
        <v>8.883330348248443E-2</v>
      </c>
      <c r="AC17" s="5">
        <f t="shared" si="11"/>
        <v>0.99999999999999811</v>
      </c>
      <c r="AD17" s="48">
        <f t="shared" si="12"/>
        <v>0.69294448703685585</v>
      </c>
      <c r="AE17" s="48">
        <f>POWER(0.88*LN(3.41*('1 pompa'!$E$44/1000/'1 pompa'!$E$51)), 2*(AA17-1)*(1-AB17))</f>
        <v>3.5356334307346353E-2</v>
      </c>
      <c r="AF17" s="48">
        <f t="shared" si="13"/>
        <v>2.4499976940107658E-2</v>
      </c>
      <c r="AG17" s="31">
        <f>'1 pompa'!$E$16*AF17*POWER(Y17, 2)/(2*9.81*'1 pompa'!$E$44/1000)</f>
        <v>21.019428555178493</v>
      </c>
      <c r="AH17" s="31">
        <f>POWER(Y17, 2)*'1 pompa'!$E$48/(2*9.81)</f>
        <v>0</v>
      </c>
      <c r="AI17" s="31">
        <f t="shared" si="14"/>
        <v>21.019428555178493</v>
      </c>
      <c r="AJ17" s="55">
        <f t="shared" si="1"/>
        <v>31.855255217916767</v>
      </c>
    </row>
    <row r="18" spans="2:36" x14ac:dyDescent="0.25">
      <c r="B18" s="41"/>
      <c r="C18" t="s">
        <v>74</v>
      </c>
      <c r="D18" t="s">
        <v>48</v>
      </c>
      <c r="E18" s="44">
        <f t="shared" si="2"/>
        <v>0.03</v>
      </c>
      <c r="F18" s="47">
        <f t="shared" si="3"/>
        <v>108</v>
      </c>
      <c r="G18" s="5">
        <f>'1 pompa'!G62*E$12</f>
        <v>30</v>
      </c>
      <c r="H18" s="54">
        <f>'1 pompa'!H62</f>
        <v>18.600000000000001</v>
      </c>
      <c r="I18" s="28"/>
      <c r="K18" s="48">
        <f t="shared" si="4"/>
        <v>1.4999999999999999E-2</v>
      </c>
      <c r="L18" s="5">
        <f>K18/'1 pompa'!$G$35</f>
        <v>1.5791967152708322</v>
      </c>
      <c r="M18" s="11">
        <f>('1 pompa'!$E$35/1000)*L18/'1 pompa'!$E$20</f>
        <v>172538.37771135432</v>
      </c>
      <c r="N18" s="52">
        <f t="shared" si="5"/>
        <v>7.0760906729933592E-16</v>
      </c>
      <c r="O18" s="48">
        <f>1/(1+(POWER(M18/(150*(('1 pompa'!$E$35/1000)/'1 pompa'!$E$42)),1.8)))</f>
        <v>2.1385841285824259E-2</v>
      </c>
      <c r="P18" s="5">
        <f t="shared" si="6"/>
        <v>0.99999999999999445</v>
      </c>
      <c r="Q18" s="48">
        <f t="shared" si="7"/>
        <v>0.91597529322290905</v>
      </c>
      <c r="R18" s="48">
        <f>POWER(0.88*LN(3.41*('1 pompa'!$E$35/1000/'1 pompa'!$E$42)), 2*(N18-1)*(1-O18))</f>
        <v>3.6694831971503056E-2</v>
      </c>
      <c r="S18" s="48">
        <f t="shared" si="8"/>
        <v>3.3611559474862704E-2</v>
      </c>
      <c r="T18" s="31">
        <f>'1 pompa'!$E$34*S18*POWER(L18, 2)/(2*9.81*'1 pompa'!$E$35/1000)</f>
        <v>0.23303475079153396</v>
      </c>
      <c r="U18" s="31">
        <f>POWER(L18, 2)*'1 pompa'!$E$39/(2*9.81)</f>
        <v>0.42962560945285355</v>
      </c>
      <c r="V18" s="31">
        <f t="shared" si="9"/>
        <v>0.66266036024438746</v>
      </c>
      <c r="X18" s="48">
        <f t="shared" si="0"/>
        <v>0.03</v>
      </c>
      <c r="Y18" s="5">
        <f>X18/'1 pompa'!$G$44</f>
        <v>1.1795234725171031</v>
      </c>
      <c r="Z18" s="11">
        <f>('1 pompa'!$E$44/1000)*Y18/'1 pompa'!$E$20</f>
        <v>210880.2394249886</v>
      </c>
      <c r="AA18" s="52">
        <f t="shared" si="10"/>
        <v>1.311390137844308E-16</v>
      </c>
      <c r="AB18" s="48">
        <f>1/(1+(POWER(Z18/(150*(('1 pompa'!$E$44/1000)/'1 pompa'!$E$51)),1.8)))</f>
        <v>7.9281362853497739E-2</v>
      </c>
      <c r="AC18" s="5">
        <f t="shared" si="11"/>
        <v>0.99999999999999889</v>
      </c>
      <c r="AD18" s="48">
        <f t="shared" si="12"/>
        <v>0.72007376448237714</v>
      </c>
      <c r="AE18" s="48">
        <f>POWER(0.88*LN(3.41*('1 pompa'!$E$44/1000/'1 pompa'!$E$51)), 2*(AA18-1)*(1-AB18))</f>
        <v>3.4138978859178881E-2</v>
      </c>
      <c r="AF18" s="48">
        <f t="shared" si="13"/>
        <v>2.4582583022713201E-2</v>
      </c>
      <c r="AG18" s="31">
        <f>'1 pompa'!$E$16*AF18*POWER(Y18, 2)/(2*9.81*'1 pompa'!$E$44/1000)</f>
        <v>24.210802816478889</v>
      </c>
      <c r="AH18" s="31">
        <f>POWER(Y18, 2)*'1 pompa'!$E$48/(2*9.81)</f>
        <v>0</v>
      </c>
      <c r="AI18" s="31">
        <f t="shared" si="14"/>
        <v>24.210802816478889</v>
      </c>
      <c r="AJ18" s="55">
        <f t="shared" si="1"/>
        <v>35.132380374175511</v>
      </c>
    </row>
    <row r="19" spans="2:36" x14ac:dyDescent="0.25">
      <c r="B19" s="41"/>
      <c r="C19" t="s">
        <v>75</v>
      </c>
      <c r="D19" t="s">
        <v>48</v>
      </c>
      <c r="E19" s="44">
        <f t="shared" si="2"/>
        <v>3.2000000000000001E-2</v>
      </c>
      <c r="F19" s="47">
        <f t="shared" si="3"/>
        <v>115.2</v>
      </c>
      <c r="G19" s="5">
        <f>'1 pompa'!G63*E$12</f>
        <v>32</v>
      </c>
      <c r="H19" s="54">
        <f>'1 pompa'!H63</f>
        <v>18.399999999999999</v>
      </c>
      <c r="I19" s="28"/>
      <c r="K19" s="48">
        <f t="shared" si="4"/>
        <v>1.6E-2</v>
      </c>
      <c r="L19" s="5">
        <f>K19/'1 pompa'!$G$35</f>
        <v>1.6844764962888878</v>
      </c>
      <c r="M19" s="11">
        <f>('1 pompa'!$E$35/1000)*L19/'1 pompa'!$E$20</f>
        <v>184040.93622544463</v>
      </c>
      <c r="N19" s="52">
        <f t="shared" si="5"/>
        <v>4.1148320237395639E-16</v>
      </c>
      <c r="O19" s="48">
        <f>1/(1+(POWER(M19/(150*(('1 pompa'!$E$35/1000)/'1 pompa'!$E$42)),1.8)))</f>
        <v>1.9085101449984116E-2</v>
      </c>
      <c r="P19" s="5">
        <f t="shared" si="6"/>
        <v>0.99999999999999667</v>
      </c>
      <c r="Q19" s="48">
        <f t="shared" si="7"/>
        <v>0.92444615604967595</v>
      </c>
      <c r="R19" s="48">
        <f>POWER(0.88*LN(3.41*('1 pompa'!$E$35/1000/'1 pompa'!$E$42)), 2*(N19-1)*(1-O19))</f>
        <v>3.6410803523916867E-2</v>
      </c>
      <c r="S19" s="48">
        <f t="shared" si="8"/>
        <v>3.365982735636483E-2</v>
      </c>
      <c r="T19" s="31">
        <f>'1 pompa'!$E$34*S19*POWER(L19, 2)/(2*9.81*'1 pompa'!$E$35/1000)</f>
        <v>0.26552251773830771</v>
      </c>
      <c r="U19" s="31">
        <f>POWER(L19, 2)*'1 pompa'!$E$39/(2*9.81)</f>
        <v>0.4888184711996913</v>
      </c>
      <c r="V19" s="31">
        <f t="shared" si="9"/>
        <v>0.75434098893799906</v>
      </c>
      <c r="X19" s="48">
        <f t="shared" si="0"/>
        <v>3.2000000000000001E-2</v>
      </c>
      <c r="Y19" s="5">
        <f>X19/'1 pompa'!$G$44</f>
        <v>1.25815837068491</v>
      </c>
      <c r="Z19" s="11">
        <f>('1 pompa'!$E$44/1000)*Y19/'1 pompa'!$E$20</f>
        <v>224938.92205332118</v>
      </c>
      <c r="AA19" s="52">
        <f t="shared" si="10"/>
        <v>7.625891730603465E-17</v>
      </c>
      <c r="AB19" s="48">
        <f>1/(1+(POWER(Z19/(150*(('1 pompa'!$E$44/1000)/'1 pompa'!$E$51)),1.8)))</f>
        <v>7.1205281481073288E-2</v>
      </c>
      <c r="AC19" s="5">
        <f t="shared" si="11"/>
        <v>0.99999999999999933</v>
      </c>
      <c r="AD19" s="48">
        <f t="shared" si="12"/>
        <v>0.74392514935997756</v>
      </c>
      <c r="AE19" s="48">
        <f>POWER(0.88*LN(3.41*('1 pompa'!$E$44/1000/'1 pompa'!$E$51)), 2*(AA19-1)*(1-AB19))</f>
        <v>3.3142474979640436E-2</v>
      </c>
      <c r="AF19" s="48">
        <f t="shared" si="13"/>
        <v>2.4655520649388318E-2</v>
      </c>
      <c r="AG19" s="31">
        <f>'1 pompa'!$E$16*AF19*POWER(Y19, 2)/(2*9.81*'1 pompa'!$E$44/1000)</f>
        <v>27.628245167903817</v>
      </c>
      <c r="AH19" s="31">
        <f>POWER(Y19, 2)*'1 pompa'!$E$48/(2*9.81)</f>
        <v>0</v>
      </c>
      <c r="AI19" s="31">
        <f t="shared" si="14"/>
        <v>27.628245167903817</v>
      </c>
      <c r="AJ19" s="55">
        <f t="shared" si="1"/>
        <v>38.641503354294052</v>
      </c>
    </row>
    <row r="20" spans="2:36" x14ac:dyDescent="0.25">
      <c r="B20" s="41"/>
      <c r="C20" t="s">
        <v>76</v>
      </c>
      <c r="D20" t="s">
        <v>48</v>
      </c>
      <c r="E20" s="44">
        <f t="shared" si="2"/>
        <v>3.4000000000000002E-2</v>
      </c>
      <c r="F20" s="47">
        <f t="shared" si="3"/>
        <v>122.4</v>
      </c>
      <c r="G20" s="5">
        <f>'1 pompa'!G64*E$12</f>
        <v>34</v>
      </c>
      <c r="H20" s="54">
        <f>'1 pompa'!H64</f>
        <v>18.100000000000001</v>
      </c>
      <c r="I20" s="28"/>
      <c r="K20" s="48">
        <f t="shared" si="4"/>
        <v>1.7000000000000001E-2</v>
      </c>
      <c r="L20" s="5">
        <f>K20/'1 pompa'!$G$35</f>
        <v>1.7897562773069433</v>
      </c>
      <c r="M20" s="11">
        <f>('1 pompa'!$E$35/1000)*L20/'1 pompa'!$E$20</f>
        <v>195543.49473953492</v>
      </c>
      <c r="N20" s="52">
        <f t="shared" si="5"/>
        <v>2.4728001921999218E-16</v>
      </c>
      <c r="O20" s="48">
        <f>1/(1+(POWER(M20/(150*(('1 pompa'!$E$35/1000)/'1 pompa'!$E$42)),1.8)))</f>
        <v>1.714589299733791E-2</v>
      </c>
      <c r="P20" s="5">
        <f t="shared" si="6"/>
        <v>0.999999999999998</v>
      </c>
      <c r="Q20" s="48">
        <f t="shared" si="7"/>
        <v>0.93167002713793312</v>
      </c>
      <c r="R20" s="48">
        <f>POWER(0.88*LN(3.41*('1 pompa'!$E$35/1000/'1 pompa'!$E$42)), 2*(N20-1)*(1-O20))</f>
        <v>3.6173114565595355E-2</v>
      </c>
      <c r="S20" s="48">
        <f t="shared" si="8"/>
        <v>3.3701406628991723E-2</v>
      </c>
      <c r="T20" s="31">
        <f>'1 pompa'!$E$34*S20*POWER(L20, 2)/(2*9.81*'1 pompa'!$E$35/1000)</f>
        <v>0.30012030466080786</v>
      </c>
      <c r="U20" s="31">
        <f>POWER(L20, 2)*'1 pompa'!$E$39/(2*9.81)</f>
        <v>0.55183022725277642</v>
      </c>
      <c r="V20" s="31">
        <f t="shared" si="9"/>
        <v>0.85195053191358427</v>
      </c>
      <c r="X20" s="48">
        <f t="shared" si="0"/>
        <v>3.4000000000000002E-2</v>
      </c>
      <c r="Y20" s="5">
        <f>X20/'1 pompa'!$G$44</f>
        <v>1.3367932688527171</v>
      </c>
      <c r="Z20" s="11">
        <f>('1 pompa'!$E$44/1000)*Y20/'1 pompa'!$E$20</f>
        <v>238997.60468165381</v>
      </c>
      <c r="AA20" s="52">
        <f t="shared" si="10"/>
        <v>4.5827646009215137E-17</v>
      </c>
      <c r="AB20" s="48">
        <f>1/(1+(POWER(Z20/(150*(('1 pompa'!$E$44/1000)/'1 pompa'!$E$51)),1.8)))</f>
        <v>6.4317462932219308E-2</v>
      </c>
      <c r="AC20" s="5">
        <f t="shared" si="11"/>
        <v>0.99999999999999967</v>
      </c>
      <c r="AD20" s="48">
        <f t="shared" si="12"/>
        <v>0.76496071110046204</v>
      </c>
      <c r="AE20" s="48">
        <f>POWER(0.88*LN(3.41*('1 pompa'!$E$44/1000/'1 pompa'!$E$51)), 2*(AA20-1)*(1-AB20))</f>
        <v>3.2315606252892828E-2</v>
      </c>
      <c r="AF20" s="48">
        <f t="shared" si="13"/>
        <v>2.4720169138855427E-2</v>
      </c>
      <c r="AG20" s="31">
        <f>'1 pompa'!$E$16*AF20*POWER(Y20, 2)/(2*9.81*'1 pompa'!$E$44/1000)</f>
        <v>31.271480205082977</v>
      </c>
      <c r="AH20" s="31">
        <f>POWER(Y20, 2)*'1 pompa'!$E$48/(2*9.81)</f>
        <v>0</v>
      </c>
      <c r="AI20" s="31">
        <f t="shared" si="14"/>
        <v>31.271480205082977</v>
      </c>
      <c r="AJ20" s="55">
        <f t="shared" si="1"/>
        <v>42.382347934448795</v>
      </c>
    </row>
    <row r="21" spans="2:36" x14ac:dyDescent="0.25">
      <c r="B21" s="41"/>
      <c r="C21" t="s">
        <v>77</v>
      </c>
      <c r="D21" t="s">
        <v>48</v>
      </c>
      <c r="E21" s="44">
        <f t="shared" si="2"/>
        <v>3.5999999999999997E-2</v>
      </c>
      <c r="F21" s="47">
        <f t="shared" si="3"/>
        <v>129.6</v>
      </c>
      <c r="G21" s="5">
        <f>'1 pompa'!G65*E$12</f>
        <v>36</v>
      </c>
      <c r="H21" s="54">
        <f>'1 pompa'!H65</f>
        <v>17.7</v>
      </c>
      <c r="I21" s="28"/>
      <c r="K21" s="48">
        <f t="shared" si="4"/>
        <v>1.7999999999999999E-2</v>
      </c>
      <c r="L21" s="5">
        <f>K21/'1 pompa'!$G$35</f>
        <v>1.8950360583249986</v>
      </c>
      <c r="M21" s="11">
        <f>('1 pompa'!$E$35/1000)*L21/'1 pompa'!$E$20</f>
        <v>207046.05325362517</v>
      </c>
      <c r="N21" s="52">
        <f t="shared" si="5"/>
        <v>1.5299277518951367E-16</v>
      </c>
      <c r="O21" s="48">
        <f>1/(1+(POWER(M21/(150*(('1 pompa'!$E$35/1000)/'1 pompa'!$E$42)),1.8)))</f>
        <v>1.549552503883652E-2</v>
      </c>
      <c r="P21" s="5">
        <f t="shared" si="6"/>
        <v>0.99999999999999878</v>
      </c>
      <c r="Q21" s="48">
        <f t="shared" si="7"/>
        <v>0.93788098385071583</v>
      </c>
      <c r="R21" s="48">
        <f>POWER(0.88*LN(3.41*('1 pompa'!$E$35/1000/'1 pompa'!$E$42)), 2*(N21-1)*(1-O21))</f>
        <v>3.5972051383242436E-2</v>
      </c>
      <c r="S21" s="48">
        <f t="shared" si="8"/>
        <v>3.3737502942443882E-2</v>
      </c>
      <c r="T21" s="31">
        <f>'1 pompa'!$E$34*S21*POWER(L21, 2)/(2*9.81*'1 pompa'!$E$35/1000)</f>
        <v>0.33682743161076023</v>
      </c>
      <c r="U21" s="31">
        <f>POWER(L21, 2)*'1 pompa'!$E$39/(2*9.81)</f>
        <v>0.61866087761210908</v>
      </c>
      <c r="V21" s="31">
        <f t="shared" si="9"/>
        <v>0.95548830922286931</v>
      </c>
      <c r="X21" s="48">
        <f t="shared" si="0"/>
        <v>3.5999999999999997E-2</v>
      </c>
      <c r="Y21" s="5">
        <f>X21/'1 pompa'!$G$44</f>
        <v>1.4154281670205238</v>
      </c>
      <c r="Z21" s="11">
        <f>('1 pompa'!$E$44/1000)*Y21/'1 pompa'!$E$20</f>
        <v>253056.28730998634</v>
      </c>
      <c r="AA21" s="52">
        <f t="shared" si="10"/>
        <v>2.8353680841131264E-17</v>
      </c>
      <c r="AB21" s="48">
        <f>1/(1+(POWER(Z21/(150*(('1 pompa'!$E$44/1000)/'1 pompa'!$E$51)),1.8)))</f>
        <v>5.839639563913529E-2</v>
      </c>
      <c r="AC21" s="5">
        <f t="shared" si="11"/>
        <v>0.99999999999999978</v>
      </c>
      <c r="AD21" s="48">
        <f t="shared" si="12"/>
        <v>0.78357607340877178</v>
      </c>
      <c r="AE21" s="48">
        <f>POWER(0.88*LN(3.41*('1 pompa'!$E$44/1000/'1 pompa'!$E$51)), 2*(AA21-1)*(1-AB21))</f>
        <v>3.1621302900020125E-2</v>
      </c>
      <c r="AF21" s="48">
        <f t="shared" si="13"/>
        <v>2.4777696362467169E-2</v>
      </c>
      <c r="AG21" s="31">
        <f>'1 pompa'!$E$16*AF21*POWER(Y21, 2)/(2*9.81*'1 pompa'!$E$44/1000)</f>
        <v>35.140270054882912</v>
      </c>
      <c r="AH21" s="31">
        <f>POWER(Y21, 2)*'1 pompa'!$E$48/(2*9.81)</f>
        <v>0</v>
      </c>
      <c r="AI21" s="31">
        <f t="shared" si="14"/>
        <v>35.140270054882912</v>
      </c>
      <c r="AJ21" s="55">
        <f t="shared" si="1"/>
        <v>46.354675561558018</v>
      </c>
    </row>
    <row r="22" spans="2:36" x14ac:dyDescent="0.25">
      <c r="B22" s="41"/>
      <c r="C22" t="s">
        <v>78</v>
      </c>
      <c r="D22" t="s">
        <v>48</v>
      </c>
      <c r="E22" s="44">
        <f t="shared" si="2"/>
        <v>3.7999999999999999E-2</v>
      </c>
      <c r="F22" s="47">
        <f t="shared" si="3"/>
        <v>136.79999999999998</v>
      </c>
      <c r="G22" s="5">
        <f>'1 pompa'!G66*E$12</f>
        <v>38</v>
      </c>
      <c r="H22" s="54">
        <f>'1 pompa'!H66</f>
        <v>17.2</v>
      </c>
      <c r="I22" s="28"/>
      <c r="K22" s="48">
        <f t="shared" si="4"/>
        <v>1.9E-2</v>
      </c>
      <c r="L22" s="5">
        <f>K22/'1 pompa'!$G$35</f>
        <v>2.0003158393430542</v>
      </c>
      <c r="M22" s="11">
        <f>('1 pompa'!$E$35/1000)*L22/'1 pompa'!$E$20</f>
        <v>218548.61176771548</v>
      </c>
      <c r="N22" s="52">
        <f t="shared" si="5"/>
        <v>9.7147072409446307E-17</v>
      </c>
      <c r="O22" s="48">
        <f>1/(1+(POWER(M22/(150*(('1 pompa'!$E$35/1000)/'1 pompa'!$E$42)),1.8)))</f>
        <v>1.4078774265673985E-2</v>
      </c>
      <c r="P22" s="5">
        <f t="shared" si="6"/>
        <v>0.99999999999999922</v>
      </c>
      <c r="Q22" s="48">
        <f t="shared" si="7"/>
        <v>0.94326083467883248</v>
      </c>
      <c r="R22" s="48">
        <f>POWER(0.88*LN(3.41*('1 pompa'!$E$35/1000/'1 pompa'!$E$42)), 2*(N22-1)*(1-O22))</f>
        <v>3.5800341334698983E-2</v>
      </c>
      <c r="S22" s="48">
        <f t="shared" si="8"/>
        <v>3.3769059849155243E-2</v>
      </c>
      <c r="T22" s="31">
        <f>'1 pompa'!$E$34*S22*POWER(L22, 2)/(2*9.81*'1 pompa'!$E$35/1000)</f>
        <v>0.37564332820669888</v>
      </c>
      <c r="U22" s="31">
        <f>POWER(L22, 2)*'1 pompa'!$E$39/(2*9.81)</f>
        <v>0.68931042227768968</v>
      </c>
      <c r="V22" s="31">
        <f t="shared" si="9"/>
        <v>1.0649537504843885</v>
      </c>
      <c r="X22" s="48">
        <f t="shared" si="0"/>
        <v>3.7999999999999999E-2</v>
      </c>
      <c r="Y22" s="5">
        <f>X22/'1 pompa'!$G$44</f>
        <v>1.4940630651883307</v>
      </c>
      <c r="Z22" s="11">
        <f>('1 pompa'!$E$44/1000)*Y22/'1 pompa'!$E$20</f>
        <v>267114.96993831889</v>
      </c>
      <c r="AA22" s="52">
        <f t="shared" si="10"/>
        <v>1.8003968372596102E-17</v>
      </c>
      <c r="AB22" s="48">
        <f>1/(1+(POWER(Z22/(150*(('1 pompa'!$E$44/1000)/'1 pompa'!$E$51)),1.8)))</f>
        <v>5.3269465824254403E-2</v>
      </c>
      <c r="AC22" s="5">
        <f t="shared" si="11"/>
        <v>0.99999999999999989</v>
      </c>
      <c r="AD22" s="48">
        <f t="shared" si="12"/>
        <v>0.80010768489381867</v>
      </c>
      <c r="AE22" s="48">
        <f>POWER(0.88*LN(3.41*('1 pompa'!$E$44/1000/'1 pompa'!$E$51)), 2*(AA22-1)*(1-AB22))</f>
        <v>3.1032181900208081E-2</v>
      </c>
      <c r="AF22" s="48">
        <f t="shared" si="13"/>
        <v>2.4829087217379347E-2</v>
      </c>
      <c r="AG22" s="31">
        <f>'1 pompa'!$E$16*AF22*POWER(Y22, 2)/(2*9.81*'1 pompa'!$E$44/1000)</f>
        <v>39.23440889260732</v>
      </c>
      <c r="AH22" s="31">
        <f>POWER(Y22, 2)*'1 pompa'!$E$48/(2*9.81)</f>
        <v>0</v>
      </c>
      <c r="AI22" s="31">
        <f t="shared" si="14"/>
        <v>39.23440889260732</v>
      </c>
      <c r="AJ22" s="55">
        <f t="shared" si="1"/>
        <v>50.558279840543946</v>
      </c>
    </row>
    <row r="23" spans="2:36" x14ac:dyDescent="0.25">
      <c r="B23" s="41"/>
      <c r="C23" t="s">
        <v>79</v>
      </c>
      <c r="D23" t="s">
        <v>48</v>
      </c>
      <c r="E23" s="44">
        <f t="shared" si="2"/>
        <v>0.04</v>
      </c>
      <c r="F23" s="47">
        <f t="shared" si="3"/>
        <v>144</v>
      </c>
      <c r="G23" s="5">
        <f>'1 pompa'!G67*E$12</f>
        <v>40</v>
      </c>
      <c r="H23" s="54">
        <f>'1 pompa'!H67</f>
        <v>16.600000000000001</v>
      </c>
      <c r="I23" s="28"/>
      <c r="K23" s="48">
        <f t="shared" si="4"/>
        <v>0.02</v>
      </c>
      <c r="L23" s="5">
        <f>K23/'1 pompa'!$G$35</f>
        <v>2.1055956203611097</v>
      </c>
      <c r="M23" s="11">
        <f>('1 pompa'!$E$35/1000)*L23/'1 pompa'!$E$20</f>
        <v>230051.17028180577</v>
      </c>
      <c r="N23" s="52">
        <f t="shared" si="5"/>
        <v>6.3140497838026637E-17</v>
      </c>
      <c r="O23" s="48">
        <f>1/(1+(POWER(M23/(150*(('1 pompa'!$E$35/1000)/'1 pompa'!$E$42)),1.8)))</f>
        <v>1.2853071315621294E-2</v>
      </c>
      <c r="P23" s="5">
        <f t="shared" si="6"/>
        <v>0.99999999999999944</v>
      </c>
      <c r="Q23" s="48">
        <f t="shared" si="7"/>
        <v>0.94795243100819238</v>
      </c>
      <c r="R23" s="48">
        <f>POWER(0.88*LN(3.41*('1 pompa'!$E$35/1000/'1 pompa'!$E$42)), 2*(N23-1)*(1-O23))</f>
        <v>3.5652447710009055E-2</v>
      </c>
      <c r="S23" s="48">
        <f t="shared" si="8"/>
        <v>3.3796824478095525E-2</v>
      </c>
      <c r="T23" s="31">
        <f>'1 pompa'!$E$34*S23*POWER(L23, 2)/(2*9.81*'1 pompa'!$E$35/1000)</f>
        <v>0.41656751124899871</v>
      </c>
      <c r="U23" s="31">
        <f>POWER(L23, 2)*'1 pompa'!$E$39/(2*9.81)</f>
        <v>0.76377886124951755</v>
      </c>
      <c r="V23" s="31">
        <f t="shared" si="9"/>
        <v>1.1803463724985161</v>
      </c>
      <c r="X23" s="48">
        <f t="shared" si="0"/>
        <v>0.04</v>
      </c>
      <c r="Y23" s="5">
        <f>X23/'1 pompa'!$G$44</f>
        <v>1.5726979633561375</v>
      </c>
      <c r="Z23" s="11">
        <f>('1 pompa'!$E$44/1000)*Y23/'1 pompa'!$E$20</f>
        <v>281173.65256665152</v>
      </c>
      <c r="AA23" s="52">
        <f t="shared" si="10"/>
        <v>1.1701634417912475E-17</v>
      </c>
      <c r="AB23" s="48">
        <f>1/(1+(POWER(Z23/(150*(('1 pompa'!$E$44/1000)/'1 pompa'!$E$51)),1.8)))</f>
        <v>4.8800691172608039E-2</v>
      </c>
      <c r="AC23" s="5">
        <f t="shared" si="11"/>
        <v>0.99999999999999989</v>
      </c>
      <c r="AD23" s="48">
        <f t="shared" si="12"/>
        <v>0.81484076750515411</v>
      </c>
      <c r="AE23" s="48">
        <f>POWER(0.88*LN(3.41*('1 pompa'!$E$44/1000/'1 pompa'!$E$51)), 2*(AA23-1)*(1-AB23))</f>
        <v>3.0527647436391681E-2</v>
      </c>
      <c r="AF23" s="48">
        <f t="shared" si="13"/>
        <v>2.4875171667196144E-2</v>
      </c>
      <c r="AG23" s="31">
        <f>'1 pompa'!$E$16*AF23*POWER(Y23, 2)/(2*9.81*'1 pompa'!$E$44/1000)</f>
        <v>43.553718099543055</v>
      </c>
      <c r="AH23" s="31">
        <f>POWER(Y23, 2)*'1 pompa'!$E$48/(2*9.81)</f>
        <v>0</v>
      </c>
      <c r="AI23" s="31">
        <f t="shared" si="14"/>
        <v>43.553718099543055</v>
      </c>
      <c r="AJ23" s="55">
        <f t="shared" si="1"/>
        <v>54.992981669493808</v>
      </c>
    </row>
    <row r="24" spans="2:36" x14ac:dyDescent="0.25">
      <c r="C24" t="s">
        <v>80</v>
      </c>
      <c r="D24" t="s">
        <v>48</v>
      </c>
      <c r="E24" s="44">
        <f t="shared" si="2"/>
        <v>0</v>
      </c>
      <c r="F24" s="48"/>
      <c r="G24" s="5">
        <f>'1 pompa'!G68*E$12</f>
        <v>0</v>
      </c>
      <c r="H24" s="54">
        <f>'1 pompa'!H68</f>
        <v>0</v>
      </c>
      <c r="K24" s="48">
        <f t="shared" si="4"/>
        <v>0</v>
      </c>
      <c r="L24" s="5">
        <f>K24/'1 pompa'!$G$35</f>
        <v>0</v>
      </c>
      <c r="M24" s="11">
        <f>('1 pompa'!$E$35/1000)*L24/'1 pompa'!$E$20</f>
        <v>0</v>
      </c>
      <c r="N24" s="52">
        <f t="shared" si="5"/>
        <v>1</v>
      </c>
      <c r="O24" s="48">
        <f>1/(1+(POWER(M24/(150*(('1 pompa'!$E$35/1000)/'1 pompa'!$E$42)),1.8)))</f>
        <v>1</v>
      </c>
      <c r="P24" s="5" t="e">
        <f t="shared" si="6"/>
        <v>#DIV/0!</v>
      </c>
      <c r="Q24" s="48" t="e">
        <f t="shared" si="7"/>
        <v>#NUM!</v>
      </c>
      <c r="R24" s="48">
        <f>POWER(0.88*LN(3.41*('1 pompa'!$E$35/1000/'1 pompa'!$E$42)), 2*(N24-1)*(1-O24))</f>
        <v>1</v>
      </c>
      <c r="S24" s="48" t="e">
        <f t="shared" si="8"/>
        <v>#DIV/0!</v>
      </c>
      <c r="T24" s="31" t="e">
        <f>'1 pompa'!$E$34*S24*POWER(L24, 2)/(2*9.81*'1 pompa'!$E$35/1000)</f>
        <v>#DIV/0!</v>
      </c>
      <c r="U24" s="31">
        <f>POWER(L24, 2)*'1 pompa'!$E$39/(2*9.81)</f>
        <v>0</v>
      </c>
      <c r="V24" s="31" t="e">
        <f t="shared" si="9"/>
        <v>#DIV/0!</v>
      </c>
      <c r="X24" s="48">
        <f t="shared" si="0"/>
        <v>0</v>
      </c>
      <c r="Y24" s="5">
        <f>X24/'1 pompa'!$G$44</f>
        <v>0</v>
      </c>
      <c r="Z24" s="11">
        <f>('1 pompa'!$E$44/1000)*Y24/'1 pompa'!$E$20</f>
        <v>0</v>
      </c>
      <c r="AA24" s="52">
        <f t="shared" si="10"/>
        <v>1</v>
      </c>
      <c r="AB24" s="48">
        <f>1/(1+(POWER(Z24/(150*(('1 pompa'!$E$44/1000)/'1 pompa'!$E$51)),1.8)))</f>
        <v>1</v>
      </c>
      <c r="AC24" s="5" t="e">
        <f t="shared" si="11"/>
        <v>#DIV/0!</v>
      </c>
      <c r="AD24" s="48" t="e">
        <f t="shared" si="12"/>
        <v>#NUM!</v>
      </c>
      <c r="AE24" s="48">
        <f>POWER(0.88*LN(3.41*('1 pompa'!$E$44/1000/'1 pompa'!$E$51)), 2*(AA24-1)*(1-AB24))</f>
        <v>1</v>
      </c>
      <c r="AF24" s="48" t="e">
        <f t="shared" si="13"/>
        <v>#DIV/0!</v>
      </c>
      <c r="AG24" s="31" t="e">
        <f>'1 pompa'!$E$16*AF24*POWER(Y24, 2)/(2*9.81*'1 pompa'!$E$44/1000)</f>
        <v>#DIV/0!</v>
      </c>
      <c r="AH24" s="31">
        <f>POWER(Y24, 2)*'1 pompa'!$E$48/(2*9.81)</f>
        <v>0</v>
      </c>
      <c r="AI24" s="31" t="e">
        <f t="shared" si="14"/>
        <v>#DIV/0!</v>
      </c>
      <c r="AJ24" s="55" t="e">
        <f t="shared" si="1"/>
        <v>#DIV/0!</v>
      </c>
    </row>
    <row r="25" spans="2:36" x14ac:dyDescent="0.25">
      <c r="C25" t="s">
        <v>81</v>
      </c>
      <c r="D25" t="s">
        <v>48</v>
      </c>
      <c r="E25" s="44">
        <f t="shared" si="2"/>
        <v>0</v>
      </c>
      <c r="F25" s="48"/>
      <c r="G25" s="5">
        <f>'1 pompa'!G69*E$12</f>
        <v>0</v>
      </c>
      <c r="H25" s="54">
        <f>'1 pompa'!H69</f>
        <v>0</v>
      </c>
      <c r="K25" s="48">
        <f t="shared" si="4"/>
        <v>0</v>
      </c>
      <c r="L25" s="5">
        <f>K25/'1 pompa'!$G$35</f>
        <v>0</v>
      </c>
      <c r="M25" s="11">
        <f>('1 pompa'!$E$35/1000)*L25/'1 pompa'!$E$20</f>
        <v>0</v>
      </c>
      <c r="N25" s="52">
        <f t="shared" si="5"/>
        <v>1</v>
      </c>
      <c r="O25" s="48">
        <f>1/(1+(POWER(M25/(150*(('1 pompa'!$E$35/1000)/'1 pompa'!$E$42)),1.8)))</f>
        <v>1</v>
      </c>
      <c r="P25" s="5" t="e">
        <f t="shared" si="6"/>
        <v>#DIV/0!</v>
      </c>
      <c r="Q25" s="48" t="e">
        <f t="shared" si="7"/>
        <v>#NUM!</v>
      </c>
      <c r="R25" s="48">
        <f>POWER(0.88*LN(3.41*('1 pompa'!$E$35/1000/'1 pompa'!$E$42)), 2*(N25-1)*(1-O25))</f>
        <v>1</v>
      </c>
      <c r="S25" s="48" t="e">
        <f t="shared" si="8"/>
        <v>#DIV/0!</v>
      </c>
      <c r="T25" s="31" t="e">
        <f>'1 pompa'!$E$34*S25*POWER(L25, 2)/(2*9.81*'1 pompa'!$E$35/1000)</f>
        <v>#DIV/0!</v>
      </c>
      <c r="U25" s="31">
        <f>POWER(L25, 2)*'1 pompa'!$E$39/(2*9.81)</f>
        <v>0</v>
      </c>
      <c r="V25" s="31" t="e">
        <f t="shared" si="9"/>
        <v>#DIV/0!</v>
      </c>
      <c r="X25" s="48">
        <f t="shared" si="0"/>
        <v>0</v>
      </c>
      <c r="Y25" s="5">
        <f>X25/'1 pompa'!$G$44</f>
        <v>0</v>
      </c>
      <c r="Z25" s="11">
        <f>('1 pompa'!$E$44/1000)*Y25/'1 pompa'!$E$20</f>
        <v>0</v>
      </c>
      <c r="AA25" s="52">
        <f t="shared" si="10"/>
        <v>1</v>
      </c>
      <c r="AB25" s="48">
        <f>1/(1+(POWER(Z25/(150*(('1 pompa'!$E$44/1000)/'1 pompa'!$E$51)),1.8)))</f>
        <v>1</v>
      </c>
      <c r="AC25" s="5" t="e">
        <f t="shared" si="11"/>
        <v>#DIV/0!</v>
      </c>
      <c r="AD25" s="48" t="e">
        <f t="shared" si="12"/>
        <v>#NUM!</v>
      </c>
      <c r="AE25" s="48">
        <f>POWER(0.88*LN(3.41*('1 pompa'!$E$44/1000/'1 pompa'!$E$51)), 2*(AA25-1)*(1-AB25))</f>
        <v>1</v>
      </c>
      <c r="AF25" s="48" t="e">
        <f t="shared" si="13"/>
        <v>#DIV/0!</v>
      </c>
      <c r="AG25" s="31" t="e">
        <f>'1 pompa'!$E$16*AF25*POWER(Y25, 2)/(2*9.81*'1 pompa'!$E$44/1000)</f>
        <v>#DIV/0!</v>
      </c>
      <c r="AH25" s="31">
        <f>POWER(Y25, 2)*'1 pompa'!$E$48/(2*9.81)</f>
        <v>0</v>
      </c>
      <c r="AI25" s="31" t="e">
        <f t="shared" si="14"/>
        <v>#DIV/0!</v>
      </c>
      <c r="AJ25" s="55" t="e">
        <f t="shared" si="1"/>
        <v>#DIV/0!</v>
      </c>
    </row>
    <row r="26" spans="2:36" x14ac:dyDescent="0.25">
      <c r="C26" t="s">
        <v>82</v>
      </c>
      <c r="D26" t="s">
        <v>48</v>
      </c>
      <c r="E26" s="44">
        <f t="shared" si="2"/>
        <v>0</v>
      </c>
      <c r="F26" s="48"/>
      <c r="G26" s="5">
        <f>'1 pompa'!G70*E$12</f>
        <v>0</v>
      </c>
      <c r="H26" s="54">
        <f>'1 pompa'!H70</f>
        <v>0</v>
      </c>
      <c r="K26" s="48">
        <f t="shared" si="4"/>
        <v>0</v>
      </c>
      <c r="L26" s="5">
        <f>K26/'1 pompa'!$G$35</f>
        <v>0</v>
      </c>
      <c r="M26" s="11">
        <f>('1 pompa'!$E$35/1000)*L26/'1 pompa'!$E$20</f>
        <v>0</v>
      </c>
      <c r="N26" s="52">
        <f t="shared" si="5"/>
        <v>1</v>
      </c>
      <c r="O26" s="48">
        <f>1/(1+(POWER(M26/(150*(('1 pompa'!$E$35/1000)/'1 pompa'!$E$42)),1.8)))</f>
        <v>1</v>
      </c>
      <c r="P26" s="5" t="e">
        <f t="shared" si="6"/>
        <v>#DIV/0!</v>
      </c>
      <c r="Q26" s="48" t="e">
        <f t="shared" si="7"/>
        <v>#NUM!</v>
      </c>
      <c r="R26" s="48">
        <f>POWER(0.88*LN(3.41*('1 pompa'!$E$35/1000/'1 pompa'!$E$42)), 2*(N26-1)*(1-O26))</f>
        <v>1</v>
      </c>
      <c r="S26" s="48" t="e">
        <f t="shared" si="8"/>
        <v>#DIV/0!</v>
      </c>
      <c r="T26" s="31" t="e">
        <f>'1 pompa'!$E$34*S26*POWER(L26, 2)/(2*9.81*'1 pompa'!$E$35/1000)</f>
        <v>#DIV/0!</v>
      </c>
      <c r="U26" s="31">
        <f>POWER(L26, 2)*'1 pompa'!$E$39/(2*9.81)</f>
        <v>0</v>
      </c>
      <c r="V26" s="31" t="e">
        <f t="shared" si="9"/>
        <v>#DIV/0!</v>
      </c>
      <c r="X26" s="48">
        <f t="shared" si="0"/>
        <v>0</v>
      </c>
      <c r="Y26" s="5">
        <f>X26/'1 pompa'!$G$44</f>
        <v>0</v>
      </c>
      <c r="Z26" s="11">
        <f>('1 pompa'!$E$44/1000)*Y26/'1 pompa'!$E$20</f>
        <v>0</v>
      </c>
      <c r="AA26" s="52">
        <f t="shared" si="10"/>
        <v>1</v>
      </c>
      <c r="AB26" s="48">
        <f>1/(1+(POWER(Z26/(150*(('1 pompa'!$E$44/1000)/'1 pompa'!$E$51)),1.8)))</f>
        <v>1</v>
      </c>
      <c r="AC26" s="5" t="e">
        <f t="shared" si="11"/>
        <v>#DIV/0!</v>
      </c>
      <c r="AD26" s="48" t="e">
        <f t="shared" si="12"/>
        <v>#NUM!</v>
      </c>
      <c r="AE26" s="48">
        <f>POWER(0.88*LN(3.41*('1 pompa'!$E$44/1000/'1 pompa'!$E$51)), 2*(AA26-1)*(1-AB26))</f>
        <v>1</v>
      </c>
      <c r="AF26" s="48" t="e">
        <f t="shared" si="13"/>
        <v>#DIV/0!</v>
      </c>
      <c r="AG26" s="31" t="e">
        <f>'1 pompa'!$E$16*AF26*POWER(Y26, 2)/(2*9.81*'1 pompa'!$E$44/1000)</f>
        <v>#DIV/0!</v>
      </c>
      <c r="AH26" s="31">
        <f>POWER(Y26, 2)*'1 pompa'!$E$48/(2*9.81)</f>
        <v>0</v>
      </c>
      <c r="AI26" s="31" t="e">
        <f t="shared" si="14"/>
        <v>#DIV/0!</v>
      </c>
      <c r="AJ26" s="55" t="e">
        <f t="shared" si="1"/>
        <v>#DIV/0!</v>
      </c>
    </row>
    <row r="27" spans="2:36" x14ac:dyDescent="0.25">
      <c r="C27" t="s">
        <v>83</v>
      </c>
      <c r="D27" t="s">
        <v>48</v>
      </c>
      <c r="E27" s="44">
        <f t="shared" si="2"/>
        <v>0</v>
      </c>
      <c r="F27" s="48"/>
      <c r="G27" s="5">
        <f>'1 pompa'!G71*E$12</f>
        <v>0</v>
      </c>
      <c r="H27" s="54">
        <f>'1 pompa'!H71</f>
        <v>0</v>
      </c>
      <c r="K27" s="48">
        <f t="shared" si="4"/>
        <v>0</v>
      </c>
      <c r="L27" s="5">
        <f>K27/'1 pompa'!$G$35</f>
        <v>0</v>
      </c>
      <c r="M27" s="11">
        <f>('1 pompa'!$E$35/1000)*L27/'1 pompa'!$E$20</f>
        <v>0</v>
      </c>
      <c r="N27" s="52">
        <f t="shared" si="5"/>
        <v>1</v>
      </c>
      <c r="O27" s="48">
        <f>1/(1+(POWER(M27/(150*(('1 pompa'!$E$35/1000)/'1 pompa'!$E$42)),1.8)))</f>
        <v>1</v>
      </c>
      <c r="P27" s="5" t="e">
        <f t="shared" si="6"/>
        <v>#DIV/0!</v>
      </c>
      <c r="Q27" s="48" t="e">
        <f t="shared" si="7"/>
        <v>#NUM!</v>
      </c>
      <c r="R27" s="48">
        <f>POWER(0.88*LN(3.41*('1 pompa'!$E$35/1000/'1 pompa'!$E$42)), 2*(N27-1)*(1-O27))</f>
        <v>1</v>
      </c>
      <c r="S27" s="48" t="e">
        <f t="shared" si="8"/>
        <v>#DIV/0!</v>
      </c>
      <c r="T27" s="31" t="e">
        <f>'1 pompa'!$E$34*S27*POWER(L27, 2)/(2*9.81*'1 pompa'!$E$35/1000)</f>
        <v>#DIV/0!</v>
      </c>
      <c r="U27" s="31">
        <f>POWER(L27, 2)*'1 pompa'!$E$39/(2*9.81)</f>
        <v>0</v>
      </c>
      <c r="V27" s="31" t="e">
        <f t="shared" si="9"/>
        <v>#DIV/0!</v>
      </c>
      <c r="X27" s="48">
        <f t="shared" si="0"/>
        <v>0</v>
      </c>
      <c r="Y27" s="5">
        <f>X27/'1 pompa'!$G$44</f>
        <v>0</v>
      </c>
      <c r="Z27" s="11">
        <f>('1 pompa'!$E$44/1000)*Y27/'1 pompa'!$E$20</f>
        <v>0</v>
      </c>
      <c r="AA27" s="52">
        <f t="shared" si="10"/>
        <v>1</v>
      </c>
      <c r="AB27" s="48">
        <f>1/(1+(POWER(Z27/(150*(('1 pompa'!$E$44/1000)/'1 pompa'!$E$51)),1.8)))</f>
        <v>1</v>
      </c>
      <c r="AC27" s="5" t="e">
        <f t="shared" si="11"/>
        <v>#DIV/0!</v>
      </c>
      <c r="AD27" s="48" t="e">
        <f t="shared" si="12"/>
        <v>#NUM!</v>
      </c>
      <c r="AE27" s="48">
        <f>POWER(0.88*LN(3.41*('1 pompa'!$E$44/1000/'1 pompa'!$E$51)), 2*(AA27-1)*(1-AB27))</f>
        <v>1</v>
      </c>
      <c r="AF27" s="48" t="e">
        <f t="shared" si="13"/>
        <v>#DIV/0!</v>
      </c>
      <c r="AG27" s="31" t="e">
        <f>'1 pompa'!$E$16*AF27*POWER(Y27, 2)/(2*9.81*'1 pompa'!$E$44/1000)</f>
        <v>#DIV/0!</v>
      </c>
      <c r="AH27" s="31">
        <f>POWER(Y27, 2)*'1 pompa'!$E$48/(2*9.81)</f>
        <v>0</v>
      </c>
      <c r="AI27" s="31" t="e">
        <f t="shared" si="14"/>
        <v>#DIV/0!</v>
      </c>
      <c r="AJ27" s="55" t="e">
        <f t="shared" si="1"/>
        <v>#DIV/0!</v>
      </c>
    </row>
    <row r="28" spans="2:36" x14ac:dyDescent="0.25">
      <c r="C28" t="s">
        <v>84</v>
      </c>
      <c r="D28" t="s">
        <v>48</v>
      </c>
      <c r="E28" s="44">
        <f t="shared" si="2"/>
        <v>0</v>
      </c>
      <c r="F28" s="48"/>
      <c r="G28" s="5">
        <f>'1 pompa'!G72*E$12</f>
        <v>0</v>
      </c>
      <c r="H28" s="54">
        <f>'1 pompa'!H72</f>
        <v>0</v>
      </c>
      <c r="K28" s="48">
        <f t="shared" si="4"/>
        <v>0</v>
      </c>
      <c r="L28" s="5">
        <f>K28/'1 pompa'!$G$35</f>
        <v>0</v>
      </c>
      <c r="M28" s="11">
        <f>('1 pompa'!$E$35/1000)*L28/'1 pompa'!$E$20</f>
        <v>0</v>
      </c>
      <c r="N28" s="52">
        <f t="shared" si="5"/>
        <v>1</v>
      </c>
      <c r="O28" s="48">
        <f>1/(1+(POWER(M28/(150*(('1 pompa'!$E$35/1000)/'1 pompa'!$E$42)),1.8)))</f>
        <v>1</v>
      </c>
      <c r="P28" s="5" t="e">
        <f t="shared" si="6"/>
        <v>#DIV/0!</v>
      </c>
      <c r="Q28" s="48" t="e">
        <f t="shared" si="7"/>
        <v>#NUM!</v>
      </c>
      <c r="R28" s="48">
        <f>POWER(0.88*LN(3.41*('1 pompa'!$E$35/1000/'1 pompa'!$E$42)), 2*(N28-1)*(1-O28))</f>
        <v>1</v>
      </c>
      <c r="S28" s="48" t="e">
        <f t="shared" si="8"/>
        <v>#DIV/0!</v>
      </c>
      <c r="T28" s="31" t="e">
        <f>'1 pompa'!$E$34*S28*POWER(L28, 2)/(2*9.81*'1 pompa'!$E$35/1000)</f>
        <v>#DIV/0!</v>
      </c>
      <c r="U28" s="31">
        <f>POWER(L28, 2)*'1 pompa'!$E$39/(2*9.81)</f>
        <v>0</v>
      </c>
      <c r="V28" s="31" t="e">
        <f t="shared" si="9"/>
        <v>#DIV/0!</v>
      </c>
      <c r="X28" s="48">
        <f t="shared" si="0"/>
        <v>0</v>
      </c>
      <c r="Y28" s="5">
        <f>X28/'1 pompa'!$G$44</f>
        <v>0</v>
      </c>
      <c r="Z28" s="11">
        <f>('1 pompa'!$E$44/1000)*Y28/'1 pompa'!$E$20</f>
        <v>0</v>
      </c>
      <c r="AA28" s="52">
        <f t="shared" si="10"/>
        <v>1</v>
      </c>
      <c r="AB28" s="48">
        <f>1/(1+(POWER(Z28/(150*(('1 pompa'!$E$44/1000)/'1 pompa'!$E$51)),1.8)))</f>
        <v>1</v>
      </c>
      <c r="AC28" s="5" t="e">
        <f t="shared" si="11"/>
        <v>#DIV/0!</v>
      </c>
      <c r="AD28" s="48" t="e">
        <f t="shared" si="12"/>
        <v>#NUM!</v>
      </c>
      <c r="AE28" s="48">
        <f>POWER(0.88*LN(3.41*('1 pompa'!$E$44/1000/'1 pompa'!$E$51)), 2*(AA28-1)*(1-AB28))</f>
        <v>1</v>
      </c>
      <c r="AF28" s="48" t="e">
        <f t="shared" si="13"/>
        <v>#DIV/0!</v>
      </c>
      <c r="AG28" s="31" t="e">
        <f>'1 pompa'!$E$16*AF28*POWER(Y28, 2)/(2*9.81*'1 pompa'!$E$44/1000)</f>
        <v>#DIV/0!</v>
      </c>
      <c r="AH28" s="31">
        <f>POWER(Y28, 2)*'1 pompa'!$E$48/(2*9.81)</f>
        <v>0</v>
      </c>
      <c r="AI28" s="31" t="e">
        <f t="shared" si="14"/>
        <v>#DIV/0!</v>
      </c>
      <c r="AJ28" s="55" t="e">
        <f t="shared" si="1"/>
        <v>#DIV/0!</v>
      </c>
    </row>
    <row r="29" spans="2:36" x14ac:dyDescent="0.25">
      <c r="C29" t="s">
        <v>85</v>
      </c>
      <c r="D29" t="s">
        <v>48</v>
      </c>
      <c r="E29" s="44">
        <f t="shared" si="2"/>
        <v>0</v>
      </c>
      <c r="F29" s="48"/>
      <c r="G29" s="5">
        <f>'1 pompa'!G73*E$12</f>
        <v>0</v>
      </c>
      <c r="H29" s="54">
        <f>'1 pompa'!H73</f>
        <v>0</v>
      </c>
      <c r="K29" s="48">
        <f t="shared" si="4"/>
        <v>0</v>
      </c>
      <c r="L29" s="5">
        <f>K29/'1 pompa'!$G$35</f>
        <v>0</v>
      </c>
      <c r="M29" s="11">
        <f>('1 pompa'!$E$35/1000)*L29/'1 pompa'!$E$20</f>
        <v>0</v>
      </c>
      <c r="N29" s="52">
        <f t="shared" si="5"/>
        <v>1</v>
      </c>
      <c r="O29" s="48">
        <f>1/(1+(POWER(M29/(150*(('1 pompa'!$E$35/1000)/'1 pompa'!$E$42)),1.8)))</f>
        <v>1</v>
      </c>
      <c r="P29" s="5" t="e">
        <f t="shared" si="6"/>
        <v>#DIV/0!</v>
      </c>
      <c r="Q29" s="48" t="e">
        <f t="shared" si="7"/>
        <v>#NUM!</v>
      </c>
      <c r="R29" s="48">
        <f>POWER(0.88*LN(3.41*('1 pompa'!$E$35/1000/'1 pompa'!$E$42)), 2*(N29-1)*(1-O29))</f>
        <v>1</v>
      </c>
      <c r="S29" s="48" t="e">
        <f t="shared" si="8"/>
        <v>#DIV/0!</v>
      </c>
      <c r="T29" s="31" t="e">
        <f>'1 pompa'!$E$34*S29*POWER(L29, 2)/(2*9.81*'1 pompa'!$E$35/1000)</f>
        <v>#DIV/0!</v>
      </c>
      <c r="U29" s="31">
        <f>POWER(L29, 2)*'1 pompa'!$E$39/(2*9.81)</f>
        <v>0</v>
      </c>
      <c r="V29" s="31" t="e">
        <f t="shared" si="9"/>
        <v>#DIV/0!</v>
      </c>
      <c r="X29" s="48">
        <f t="shared" si="0"/>
        <v>0</v>
      </c>
      <c r="Y29" s="5">
        <f>X29/'1 pompa'!$G$44</f>
        <v>0</v>
      </c>
      <c r="Z29" s="11">
        <f>('1 pompa'!$E$44/1000)*Y29/'1 pompa'!$E$20</f>
        <v>0</v>
      </c>
      <c r="AA29" s="52">
        <f t="shared" ref="AA29" si="15">1/(1+POWER((Z29/2712), 8.4))</f>
        <v>1</v>
      </c>
      <c r="AB29" s="48">
        <f>1/(1+(POWER(Z29/(150*(('1 pompa'!$E$44/1000)/'1 pompa'!$E$51)),1.8)))</f>
        <v>1</v>
      </c>
      <c r="AC29" s="5" t="e">
        <f t="shared" ref="AC29" si="16">POWER((64/Z29), AA29)</f>
        <v>#DIV/0!</v>
      </c>
      <c r="AD29" s="48" t="e">
        <f t="shared" ref="AD29" si="17">POWER(0.75*LN(Z29/5.37), 2*(AA29-1)*AB29)</f>
        <v>#NUM!</v>
      </c>
      <c r="AE29" s="48">
        <f>POWER(0.88*LN(3.41*('1 pompa'!$E$44/1000/'1 pompa'!$E$51)), 2*(AA29-1)*(1-AB29))</f>
        <v>1</v>
      </c>
      <c r="AF29" s="48" t="e">
        <f t="shared" ref="AF29" si="18">AC29*AD29*AE29</f>
        <v>#DIV/0!</v>
      </c>
      <c r="AG29" s="31" t="e">
        <f>'1 pompa'!$E$16*AF29*POWER(Y29, 2)/(2*9.81*'1 pompa'!$E$44/1000)</f>
        <v>#DIV/0!</v>
      </c>
      <c r="AH29" s="31">
        <f>POWER(Y29, 2)*'1 pompa'!$E$48/(2*9.81)</f>
        <v>0</v>
      </c>
      <c r="AI29" s="31" t="e">
        <f t="shared" ref="AI29" si="19">AG29+AH29</f>
        <v>#DIV/0!</v>
      </c>
      <c r="AJ29" s="55" t="e">
        <f t="shared" si="1"/>
        <v>#DIV/0!</v>
      </c>
    </row>
    <row r="30" spans="2:36" x14ac:dyDescent="0.25">
      <c r="B30" t="s">
        <v>104</v>
      </c>
      <c r="E30" s="32">
        <f>INDEX(LINEST($H$15:$H$23, $E$15:$E$23^TRANSPOSE({1;2;3})),1)</f>
        <v>-831228.95622894249</v>
      </c>
      <c r="F30" s="32">
        <f>INDEX(LINEST($H$15:$H$23, $E$15:$E$23^TRANSPOSE({1;2;3})),1,2)</f>
        <v>75387.806637805392</v>
      </c>
      <c r="G30" s="32">
        <f>INDEX(LINEST($H$15:$H$23, $E$15:$E$23^TRANSPOSE({1;2;3})),1,3)</f>
        <v>-2406.2169312168953</v>
      </c>
      <c r="H30" s="32">
        <f>INDEX(LINEST($H$15:$H$23, $E$15:$E$23^TRANSPOSE({1;2;3})),1,4)</f>
        <v>45.412698412698091</v>
      </c>
      <c r="I30" t="s">
        <v>105</v>
      </c>
      <c r="K30" s="32">
        <f>T30+AG30</f>
        <v>28971.275144164276</v>
      </c>
      <c r="L30" s="32">
        <f t="shared" ref="L30:M30" si="20">U30+AH30</f>
        <v>-41.903904831218277</v>
      </c>
      <c r="M30" s="32">
        <f t="shared" si="20"/>
        <v>5.6876711588701445E-2</v>
      </c>
      <c r="O30" s="51"/>
      <c r="P30" s="51"/>
      <c r="Q30" s="51"/>
      <c r="R30" s="51"/>
      <c r="T30" s="32">
        <f>INDEX(LINEST($V$15:$V$23, $E$15:$E$23^TRANSPOSE({1;2})),1)</f>
        <v>741.13738860067883</v>
      </c>
      <c r="U30" s="32">
        <f>INDEX(LINEST($V$15:$V$23, $E$15:$E$23^TRANSPOSE({1;2})),1,2)</f>
        <v>-0.11094083615015127</v>
      </c>
      <c r="V30" s="32">
        <f>INDEX(LINEST($V$15:$V$23, $E$15:$E$23^TRANSPOSE({1;2})),1,3)</f>
        <v>-1.0337768963621929E-3</v>
      </c>
      <c r="AG30" s="32">
        <f>INDEX(LINEST($AI$15:$AI$23, $E$15:$E$23^TRANSPOSE({1;2})),1)</f>
        <v>28230.137755563595</v>
      </c>
      <c r="AH30" s="32">
        <f>INDEX(LINEST($AI$15:$AI$23, $E$15:$E$23^TRANSPOSE({1;2})),1,2)</f>
        <v>-41.792963995068128</v>
      </c>
      <c r="AI30" s="32">
        <f>INDEX(LINEST($AI$15:$AI$23, $E$15:$E$23^TRANSPOSE({1;2})),1,3)</f>
        <v>5.7910488485063638E-2</v>
      </c>
    </row>
    <row r="31" spans="2:36" x14ac:dyDescent="0.25">
      <c r="E31" s="7" t="s">
        <v>151</v>
      </c>
      <c r="F31" t="s">
        <v>148</v>
      </c>
      <c r="G31" t="s">
        <v>150</v>
      </c>
      <c r="H31" t="s">
        <v>149</v>
      </c>
      <c r="K31" t="s">
        <v>148</v>
      </c>
      <c r="L31" t="s">
        <v>150</v>
      </c>
      <c r="M31" t="s">
        <v>149</v>
      </c>
      <c r="P31" s="50"/>
      <c r="Q31" s="50"/>
      <c r="R31" s="50"/>
      <c r="S31" s="50"/>
      <c r="T31" s="50"/>
      <c r="U31" t="s">
        <v>148</v>
      </c>
      <c r="V31" t="s">
        <v>150</v>
      </c>
      <c r="W31" t="s">
        <v>149</v>
      </c>
      <c r="AH31" t="s">
        <v>148</v>
      </c>
      <c r="AI31" t="s">
        <v>150</v>
      </c>
      <c r="AJ31" t="s">
        <v>149</v>
      </c>
    </row>
    <row r="32" spans="2:36" ht="33.75" x14ac:dyDescent="0.5">
      <c r="B32" s="1" t="s">
        <v>86</v>
      </c>
      <c r="K32">
        <v>11</v>
      </c>
      <c r="L32">
        <v>12</v>
      </c>
      <c r="M32">
        <v>13</v>
      </c>
      <c r="N32">
        <v>14</v>
      </c>
      <c r="O32">
        <v>15</v>
      </c>
      <c r="P32">
        <v>16</v>
      </c>
      <c r="Q32">
        <v>17</v>
      </c>
      <c r="R32">
        <v>18</v>
      </c>
      <c r="S32">
        <v>19</v>
      </c>
      <c r="T32">
        <v>20</v>
      </c>
      <c r="U32">
        <v>21</v>
      </c>
      <c r="V32">
        <v>22</v>
      </c>
      <c r="W32">
        <v>23</v>
      </c>
      <c r="X32">
        <v>24</v>
      </c>
      <c r="Y32">
        <v>25</v>
      </c>
      <c r="Z32">
        <v>26</v>
      </c>
    </row>
    <row r="33" spans="2:26" x14ac:dyDescent="0.25">
      <c r="B33" t="s">
        <v>88</v>
      </c>
      <c r="C33" s="2" t="s">
        <v>89</v>
      </c>
      <c r="D33" t="s">
        <v>23</v>
      </c>
      <c r="E33" s="6">
        <f>3.14*(POWER('1 pompa'!E17/2, 2))</f>
        <v>3.14</v>
      </c>
      <c r="F33" t="s">
        <v>90</v>
      </c>
      <c r="I33" s="60" t="s">
        <v>100</v>
      </c>
      <c r="J33" t="s">
        <v>101</v>
      </c>
      <c r="K33" s="5">
        <f>E38+E37</f>
        <v>94.741082802547766</v>
      </c>
      <c r="L33" s="5">
        <f>'1 pompa'!E91</f>
        <v>95.54108280254772</v>
      </c>
      <c r="M33" s="5">
        <f>L33+$E$39</f>
        <v>95.641082802547714</v>
      </c>
      <c r="N33" s="5">
        <f>M33+$E$39</f>
        <v>95.741082802547709</v>
      </c>
      <c r="O33" s="5">
        <f t="shared" ref="O33:S33" si="21">N33+$E$39</f>
        <v>95.841082802547703</v>
      </c>
      <c r="P33" s="5">
        <f t="shared" si="21"/>
        <v>95.941082802547697</v>
      </c>
      <c r="Q33" s="5">
        <f t="shared" si="21"/>
        <v>96.041082802547692</v>
      </c>
      <c r="R33" s="5">
        <f t="shared" si="21"/>
        <v>96.141082802547686</v>
      </c>
      <c r="S33" s="5">
        <f t="shared" si="21"/>
        <v>96.24108280254768</v>
      </c>
      <c r="T33" s="5">
        <f>S33+$E$39</f>
        <v>96.341082802547675</v>
      </c>
      <c r="U33" s="5">
        <f t="shared" ref="U33:Z33" si="22">T33+$E$39</f>
        <v>96.441082802547669</v>
      </c>
      <c r="V33" s="5">
        <f t="shared" si="22"/>
        <v>96.541082802547663</v>
      </c>
      <c r="W33" s="5">
        <f t="shared" si="22"/>
        <v>96.641082802547658</v>
      </c>
      <c r="X33" s="5">
        <f t="shared" si="22"/>
        <v>96.741082802547652</v>
      </c>
      <c r="Y33" s="5">
        <f t="shared" si="22"/>
        <v>96.841082802547646</v>
      </c>
      <c r="Z33" s="5">
        <f t="shared" si="22"/>
        <v>96.941082802547641</v>
      </c>
    </row>
    <row r="34" spans="2:26" x14ac:dyDescent="0.25">
      <c r="B34" t="s">
        <v>87</v>
      </c>
      <c r="C34" s="2" t="s">
        <v>91</v>
      </c>
      <c r="D34" t="s">
        <v>23</v>
      </c>
      <c r="E34" s="9">
        <f>'1 pompa'!E78</f>
        <v>3.3249999999999997</v>
      </c>
      <c r="F34" t="s">
        <v>92</v>
      </c>
      <c r="I34" s="60"/>
      <c r="J34" t="s">
        <v>103</v>
      </c>
      <c r="K34" s="5">
        <f>'1 pompa'!$E$14-K33</f>
        <v>10.258917197452234</v>
      </c>
      <c r="L34" s="5">
        <f>'1 pompa'!$E$14-L33</f>
        <v>9.4589171974522799</v>
      </c>
      <c r="M34" s="5">
        <f>'1 pompa'!$E$14-M33</f>
        <v>9.3589171974522856</v>
      </c>
      <c r="N34" s="5">
        <f>'1 pompa'!$E$14-N33</f>
        <v>9.2589171974522912</v>
      </c>
      <c r="O34" s="5">
        <f>'1 pompa'!$E$14-O33</f>
        <v>9.1589171974522969</v>
      </c>
      <c r="P34" s="5">
        <f>'1 pompa'!$E$14-P33</f>
        <v>9.0589171974523026</v>
      </c>
      <c r="Q34" s="5">
        <f>'1 pompa'!$E$14-Q33</f>
        <v>8.9589171974523083</v>
      </c>
      <c r="R34" s="5">
        <f>'1 pompa'!$E$14-R33</f>
        <v>8.858917197452314</v>
      </c>
      <c r="S34" s="5">
        <f>'1 pompa'!$E$14-S33</f>
        <v>8.7589171974523197</v>
      </c>
      <c r="T34" s="5">
        <f>'1 pompa'!$E$14-T33</f>
        <v>8.6589171974523254</v>
      </c>
      <c r="U34" s="5">
        <f>'1 pompa'!$E$14-U33</f>
        <v>8.558917197452331</v>
      </c>
      <c r="V34" s="5">
        <f>'1 pompa'!$E$14-V33</f>
        <v>8.4589171974523367</v>
      </c>
      <c r="W34" s="5">
        <f>'1 pompa'!$E$14-W33</f>
        <v>8.3589171974523424</v>
      </c>
      <c r="X34" s="5">
        <f>'1 pompa'!$E$14-X33</f>
        <v>8.2589171974523481</v>
      </c>
      <c r="Y34" s="5">
        <f>'1 pompa'!$E$14-Y33</f>
        <v>8.1589171974523538</v>
      </c>
      <c r="Z34" s="5">
        <f>'1 pompa'!$E$14-Z33</f>
        <v>8.0589171974523595</v>
      </c>
    </row>
    <row r="35" spans="2:26" x14ac:dyDescent="0.25">
      <c r="B35" t="s">
        <v>93</v>
      </c>
      <c r="C35" s="2" t="s">
        <v>94</v>
      </c>
      <c r="D35" t="s">
        <v>23</v>
      </c>
      <c r="E35" s="9">
        <f>E34/E33</f>
        <v>1.0589171974522291</v>
      </c>
      <c r="F35" t="s">
        <v>19</v>
      </c>
      <c r="J35" t="s">
        <v>109</v>
      </c>
      <c r="K35" s="5">
        <f t="shared" ref="K35:Z35" si="23">K34+$M$30</f>
        <v>10.315793909040936</v>
      </c>
      <c r="L35" s="5">
        <f t="shared" si="23"/>
        <v>9.5157939090409815</v>
      </c>
      <c r="M35" s="5">
        <f t="shared" si="23"/>
        <v>9.4157939090409872</v>
      </c>
      <c r="N35" s="5">
        <f t="shared" si="23"/>
        <v>9.3157939090409929</v>
      </c>
      <c r="O35" s="5">
        <f t="shared" si="23"/>
        <v>9.2157939090409986</v>
      </c>
      <c r="P35" s="5">
        <f t="shared" si="23"/>
        <v>9.1157939090410043</v>
      </c>
      <c r="Q35" s="5">
        <f t="shared" si="23"/>
        <v>9.01579390904101</v>
      </c>
      <c r="R35" s="5">
        <f t="shared" si="23"/>
        <v>8.9157939090410157</v>
      </c>
      <c r="S35" s="5">
        <f t="shared" si="23"/>
        <v>8.8157939090410213</v>
      </c>
      <c r="T35" s="5">
        <f t="shared" si="23"/>
        <v>8.715793909041027</v>
      </c>
      <c r="U35" s="5">
        <f t="shared" si="23"/>
        <v>8.6157939090410327</v>
      </c>
      <c r="V35" s="5">
        <f t="shared" si="23"/>
        <v>8.5157939090410384</v>
      </c>
      <c r="W35" s="5">
        <f t="shared" si="23"/>
        <v>8.4157939090410441</v>
      </c>
      <c r="X35" s="5">
        <f t="shared" si="23"/>
        <v>8.3157939090410498</v>
      </c>
      <c r="Y35" s="5">
        <f t="shared" si="23"/>
        <v>8.2157939090410554</v>
      </c>
      <c r="Z35" s="5">
        <f t="shared" si="23"/>
        <v>8.1157939090410611</v>
      </c>
    </row>
    <row r="36" spans="2:26" x14ac:dyDescent="0.25">
      <c r="B36" t="s">
        <v>95</v>
      </c>
      <c r="C36" s="2" t="s">
        <v>65</v>
      </c>
      <c r="D36" t="s">
        <v>23</v>
      </c>
      <c r="E36" s="9">
        <f>'1 pompa'!E28-E35</f>
        <v>94.741082802547766</v>
      </c>
      <c r="F36" t="s">
        <v>4</v>
      </c>
      <c r="J36" t="s">
        <v>110</v>
      </c>
      <c r="K36" s="31">
        <f>$E$30</f>
        <v>-831228.95622894249</v>
      </c>
      <c r="L36" s="31">
        <f>$E$30</f>
        <v>-831228.95622894249</v>
      </c>
      <c r="M36" s="31">
        <f t="shared" ref="M36:Z36" si="24">$E$30</f>
        <v>-831228.95622894249</v>
      </c>
      <c r="N36" s="31">
        <f t="shared" si="24"/>
        <v>-831228.95622894249</v>
      </c>
      <c r="O36" s="31">
        <f t="shared" si="24"/>
        <v>-831228.95622894249</v>
      </c>
      <c r="P36" s="31">
        <f t="shared" si="24"/>
        <v>-831228.95622894249</v>
      </c>
      <c r="Q36" s="31">
        <f t="shared" si="24"/>
        <v>-831228.95622894249</v>
      </c>
      <c r="R36" s="31">
        <f t="shared" si="24"/>
        <v>-831228.95622894249</v>
      </c>
      <c r="S36" s="31">
        <f t="shared" si="24"/>
        <v>-831228.95622894249</v>
      </c>
      <c r="T36" s="31">
        <f t="shared" si="24"/>
        <v>-831228.95622894249</v>
      </c>
      <c r="U36" s="31">
        <f t="shared" si="24"/>
        <v>-831228.95622894249</v>
      </c>
      <c r="V36" s="31">
        <f t="shared" si="24"/>
        <v>-831228.95622894249</v>
      </c>
      <c r="W36" s="31">
        <f t="shared" si="24"/>
        <v>-831228.95622894249</v>
      </c>
      <c r="X36" s="31">
        <f t="shared" si="24"/>
        <v>-831228.95622894249</v>
      </c>
      <c r="Y36" s="31">
        <f t="shared" si="24"/>
        <v>-831228.95622894249</v>
      </c>
      <c r="Z36" s="31">
        <f t="shared" si="24"/>
        <v>-831228.95622894249</v>
      </c>
    </row>
    <row r="37" spans="2:26" x14ac:dyDescent="0.25">
      <c r="B37" t="s">
        <v>96</v>
      </c>
      <c r="C37" s="2" t="s">
        <v>97</v>
      </c>
      <c r="D37" t="s">
        <v>23</v>
      </c>
      <c r="E37" s="26">
        <v>0.3</v>
      </c>
      <c r="F37" t="s">
        <v>19</v>
      </c>
      <c r="J37" t="s">
        <v>111</v>
      </c>
      <c r="K37" s="31">
        <f>$F$30-$K$30</f>
        <v>46416.531493641116</v>
      </c>
      <c r="L37" s="31">
        <f>$F$30-$K$30</f>
        <v>46416.531493641116</v>
      </c>
      <c r="M37" s="31">
        <f t="shared" ref="M37:Z37" si="25">$F$30-$K$30</f>
        <v>46416.531493641116</v>
      </c>
      <c r="N37" s="31">
        <f t="shared" si="25"/>
        <v>46416.531493641116</v>
      </c>
      <c r="O37" s="31">
        <f t="shared" si="25"/>
        <v>46416.531493641116</v>
      </c>
      <c r="P37" s="31">
        <f t="shared" si="25"/>
        <v>46416.531493641116</v>
      </c>
      <c r="Q37" s="31">
        <f t="shared" si="25"/>
        <v>46416.531493641116</v>
      </c>
      <c r="R37" s="31">
        <f t="shared" si="25"/>
        <v>46416.531493641116</v>
      </c>
      <c r="S37" s="31">
        <f t="shared" si="25"/>
        <v>46416.531493641116</v>
      </c>
      <c r="T37" s="31">
        <f t="shared" si="25"/>
        <v>46416.531493641116</v>
      </c>
      <c r="U37" s="31">
        <f t="shared" si="25"/>
        <v>46416.531493641116</v>
      </c>
      <c r="V37" s="31">
        <f t="shared" si="25"/>
        <v>46416.531493641116</v>
      </c>
      <c r="W37" s="31">
        <f t="shared" si="25"/>
        <v>46416.531493641116</v>
      </c>
      <c r="X37" s="31">
        <f t="shared" si="25"/>
        <v>46416.531493641116</v>
      </c>
      <c r="Y37" s="31">
        <f t="shared" si="25"/>
        <v>46416.531493641116</v>
      </c>
      <c r="Z37" s="31">
        <f t="shared" si="25"/>
        <v>46416.531493641116</v>
      </c>
    </row>
    <row r="38" spans="2:26" x14ac:dyDescent="0.25">
      <c r="B38" t="s">
        <v>98</v>
      </c>
      <c r="C38" s="2" t="s">
        <v>65</v>
      </c>
      <c r="D38" t="s">
        <v>23</v>
      </c>
      <c r="E38" s="9">
        <f>E36-E37</f>
        <v>94.441082802547768</v>
      </c>
      <c r="F38" t="s">
        <v>4</v>
      </c>
      <c r="J38" t="s">
        <v>112</v>
      </c>
      <c r="K38" s="31">
        <f t="shared" ref="K38:Z38" si="26">$G$30-$L$30</f>
        <v>-2364.3130263856769</v>
      </c>
      <c r="L38" s="31">
        <f t="shared" si="26"/>
        <v>-2364.3130263856769</v>
      </c>
      <c r="M38" s="31">
        <f t="shared" si="26"/>
        <v>-2364.3130263856769</v>
      </c>
      <c r="N38" s="31">
        <f t="shared" si="26"/>
        <v>-2364.3130263856769</v>
      </c>
      <c r="O38" s="31">
        <f t="shared" si="26"/>
        <v>-2364.3130263856769</v>
      </c>
      <c r="P38" s="31">
        <f t="shared" si="26"/>
        <v>-2364.3130263856769</v>
      </c>
      <c r="Q38" s="31">
        <f t="shared" si="26"/>
        <v>-2364.3130263856769</v>
      </c>
      <c r="R38" s="31">
        <f t="shared" si="26"/>
        <v>-2364.3130263856769</v>
      </c>
      <c r="S38" s="31">
        <f t="shared" si="26"/>
        <v>-2364.3130263856769</v>
      </c>
      <c r="T38" s="31">
        <f t="shared" si="26"/>
        <v>-2364.3130263856769</v>
      </c>
      <c r="U38" s="31">
        <f t="shared" si="26"/>
        <v>-2364.3130263856769</v>
      </c>
      <c r="V38" s="31">
        <f t="shared" si="26"/>
        <v>-2364.3130263856769</v>
      </c>
      <c r="W38" s="31">
        <f t="shared" si="26"/>
        <v>-2364.3130263856769</v>
      </c>
      <c r="X38" s="31">
        <f t="shared" si="26"/>
        <v>-2364.3130263856769</v>
      </c>
      <c r="Y38" s="31">
        <f t="shared" si="26"/>
        <v>-2364.3130263856769</v>
      </c>
      <c r="Z38" s="31">
        <f t="shared" si="26"/>
        <v>-2364.3130263856769</v>
      </c>
    </row>
    <row r="39" spans="2:26" x14ac:dyDescent="0.25">
      <c r="B39" s="4" t="s">
        <v>102</v>
      </c>
      <c r="C39" s="29" t="s">
        <v>54</v>
      </c>
      <c r="D39" t="s">
        <v>23</v>
      </c>
      <c r="E39" s="26">
        <v>0.1</v>
      </c>
      <c r="F39" t="s">
        <v>19</v>
      </c>
      <c r="J39" t="s">
        <v>113</v>
      </c>
      <c r="K39" s="31">
        <f>$H$30-K35</f>
        <v>35.096904503657157</v>
      </c>
      <c r="L39" s="31">
        <f>$H$30-L35</f>
        <v>35.896904503657112</v>
      </c>
      <c r="M39" s="31">
        <f>$H$30-M35</f>
        <v>35.996904503657106</v>
      </c>
      <c r="N39" s="31">
        <f>$H$30-N35</f>
        <v>36.0969045036571</v>
      </c>
      <c r="O39" s="31">
        <f t="shared" ref="O39:S39" si="27">$H$30-O35</f>
        <v>36.196904503657095</v>
      </c>
      <c r="P39" s="31">
        <f t="shared" si="27"/>
        <v>36.296904503657089</v>
      </c>
      <c r="Q39" s="31">
        <f t="shared" si="27"/>
        <v>36.396904503657083</v>
      </c>
      <c r="R39" s="31">
        <f t="shared" si="27"/>
        <v>36.496904503657078</v>
      </c>
      <c r="S39" s="31">
        <f t="shared" si="27"/>
        <v>36.596904503657072</v>
      </c>
      <c r="T39" s="31">
        <f>$H$30-T35</f>
        <v>36.696904503657066</v>
      </c>
      <c r="U39" s="31">
        <f t="shared" ref="U39:Z39" si="28">$H$30-U35</f>
        <v>36.796904503657061</v>
      </c>
      <c r="V39" s="31">
        <f t="shared" si="28"/>
        <v>36.896904503657055</v>
      </c>
      <c r="W39" s="31">
        <f t="shared" si="28"/>
        <v>36.996904503657049</v>
      </c>
      <c r="X39" s="31">
        <f t="shared" si="28"/>
        <v>37.096904503657044</v>
      </c>
      <c r="Y39" s="31">
        <f t="shared" si="28"/>
        <v>37.196904503657038</v>
      </c>
      <c r="Z39" s="31">
        <f t="shared" si="28"/>
        <v>37.296904503657032</v>
      </c>
    </row>
    <row r="40" spans="2:26" x14ac:dyDescent="0.25">
      <c r="J40" t="s">
        <v>114</v>
      </c>
      <c r="K40" s="31">
        <f>K36*POWER(K41, 3)+K37*POWER(K41, 2)+K38*K41+K39</f>
        <v>-2.2761530382808814E-4</v>
      </c>
      <c r="L40" s="31">
        <f>L36*POWER(L41, 3)+L37*POWER(L41, 2)+L38*L41+L39</f>
        <v>-4.9204110980838323E-4</v>
      </c>
      <c r="M40" s="31">
        <f>M36*POWER(M41, 3)+M37*POWER(M41, 2)+M38*M41+M39</f>
        <v>-5.2613253895117396E-4</v>
      </c>
      <c r="N40" s="31">
        <f>N36*POWER(N41, 3)+N37*POWER(N41, 2)+N38*N41+N39</f>
        <v>-5.6031913168652636E-4</v>
      </c>
      <c r="O40" s="31">
        <f t="shared" ref="O40:S40" si="29">O36*POWER(O41, 3)+O37*POWER(O41, 2)+O38*O41+O39</f>
        <v>-5.9455584324297206E-4</v>
      </c>
      <c r="P40" s="31">
        <f t="shared" si="29"/>
        <v>-6.2879601924237249E-4</v>
      </c>
      <c r="Q40" s="31">
        <f t="shared" si="29"/>
        <v>-6.6299139070480351E-4</v>
      </c>
      <c r="R40" s="31">
        <f t="shared" si="29"/>
        <v>-6.97092070119254E-4</v>
      </c>
      <c r="S40" s="31">
        <f t="shared" si="29"/>
        <v>-7.310465486227713E-4</v>
      </c>
      <c r="T40" s="31">
        <f>T36*POWER(T41, 3)+T37*POWER(T41, 2)+T38*T41+T39</f>
        <v>-7.6480169404646858E-4</v>
      </c>
      <c r="U40" s="31">
        <f t="shared" ref="U40:Z40" si="30">U36*POWER(U41, 3)+U37*POWER(U41, 2)+U38*U41+U39</f>
        <v>-7.9830275019787678E-4</v>
      </c>
      <c r="V40" s="31">
        <f t="shared" si="30"/>
        <v>-8.3149333701726391E-4</v>
      </c>
      <c r="W40" s="31">
        <f t="shared" si="30"/>
        <v>-8.6431545183529579E-4</v>
      </c>
      <c r="X40" s="31">
        <f t="shared" si="30"/>
        <v>-8.9670947180309213E-4</v>
      </c>
      <c r="Y40" s="31">
        <f t="shared" si="30"/>
        <v>-9.2861415726019914E-4</v>
      </c>
      <c r="Z40" s="31">
        <f t="shared" si="30"/>
        <v>-9.5996665623232502E-4</v>
      </c>
    </row>
    <row r="41" spans="2:26" x14ac:dyDescent="0.25">
      <c r="J41" t="s">
        <v>131</v>
      </c>
      <c r="K41" s="40">
        <v>1.9818981452509037E-2</v>
      </c>
      <c r="L41" s="40">
        <v>2.0350440054609072E-2</v>
      </c>
      <c r="M41" s="40">
        <v>2.041676920286465E-2</v>
      </c>
      <c r="N41" s="40">
        <v>2.0483072195554439E-2</v>
      </c>
      <c r="O41" s="40">
        <v>2.0549348071488713E-2</v>
      </c>
      <c r="P41" s="40">
        <v>2.0615595872332589E-2</v>
      </c>
      <c r="Q41" s="40">
        <v>2.068181464273159E-2</v>
      </c>
      <c r="R41" s="40">
        <v>2.0748003430436503E-2</v>
      </c>
      <c r="S41" s="40">
        <v>2.0814161286427591E-2</v>
      </c>
      <c r="T41" s="40">
        <v>2.0880287265037868E-2</v>
      </c>
      <c r="U41" s="40">
        <v>2.094638042407572E-2</v>
      </c>
      <c r="V41" s="40">
        <v>2.101243982494656E-2</v>
      </c>
      <c r="W41" s="40">
        <v>2.1078464532773615E-2</v>
      </c>
      <c r="X41" s="40">
        <v>2.1144453616517837E-2</v>
      </c>
      <c r="Y41" s="40">
        <v>2.1210406149096774E-2</v>
      </c>
      <c r="Z41" s="40">
        <v>2.1276321207502488E-2</v>
      </c>
    </row>
    <row r="42" spans="2:26" x14ac:dyDescent="0.25">
      <c r="B42" t="s">
        <v>172</v>
      </c>
      <c r="C42" s="2" t="s">
        <v>173</v>
      </c>
      <c r="D42" t="s">
        <v>23</v>
      </c>
      <c r="E42" s="9">
        <f t="array" ref="E42">MATCH(TRUE, M61:Z61&gt;'1 pompa'!$G$15, 0)</f>
        <v>1</v>
      </c>
      <c r="J42" t="s">
        <v>132</v>
      </c>
      <c r="K42" s="45">
        <f>K41*1000</f>
        <v>19.818981452509036</v>
      </c>
      <c r="L42" s="45">
        <f>L41*1000</f>
        <v>20.35044005460907</v>
      </c>
      <c r="M42" s="45">
        <f t="shared" ref="M42:Z42" si="31">M41*1000</f>
        <v>20.41676920286465</v>
      </c>
      <c r="N42" s="45">
        <f t="shared" si="31"/>
        <v>20.483072195554438</v>
      </c>
      <c r="O42" s="45">
        <f t="shared" si="31"/>
        <v>20.549348071488712</v>
      </c>
      <c r="P42" s="45">
        <f t="shared" si="31"/>
        <v>20.615595872332587</v>
      </c>
      <c r="Q42" s="45">
        <f t="shared" si="31"/>
        <v>20.681814642731592</v>
      </c>
      <c r="R42" s="45">
        <f t="shared" si="31"/>
        <v>20.748003430436505</v>
      </c>
      <c r="S42" s="45">
        <f t="shared" si="31"/>
        <v>20.814161286427591</v>
      </c>
      <c r="T42" s="45">
        <f t="shared" si="31"/>
        <v>20.880287265037868</v>
      </c>
      <c r="U42" s="45">
        <f t="shared" si="31"/>
        <v>20.94638042407572</v>
      </c>
      <c r="V42" s="45">
        <f t="shared" si="31"/>
        <v>21.012439824946561</v>
      </c>
      <c r="W42" s="45">
        <f t="shared" si="31"/>
        <v>21.078464532773616</v>
      </c>
      <c r="X42" s="45">
        <f t="shared" si="31"/>
        <v>21.144453616517836</v>
      </c>
      <c r="Y42" s="45">
        <f t="shared" si="31"/>
        <v>21.210406149096773</v>
      </c>
      <c r="Z42" s="45">
        <f t="shared" si="31"/>
        <v>21.276321207502487</v>
      </c>
    </row>
    <row r="43" spans="2:26" x14ac:dyDescent="0.25">
      <c r="B43" t="s">
        <v>166</v>
      </c>
      <c r="C43" s="2" t="s">
        <v>16</v>
      </c>
      <c r="D43" t="s">
        <v>23</v>
      </c>
      <c r="E43" s="59">
        <f>INDEX(M61:Z61, E42)</f>
        <v>1126.483933986694</v>
      </c>
      <c r="J43" t="s">
        <v>133</v>
      </c>
      <c r="K43" s="45">
        <f>K41*3600</f>
        <v>71.348333229032534</v>
      </c>
      <c r="L43" s="45">
        <f>L41*3600</f>
        <v>73.261584196592665</v>
      </c>
      <c r="M43" s="45">
        <f t="shared" ref="M43:Z43" si="32">M41*3600</f>
        <v>73.500369130312734</v>
      </c>
      <c r="N43" s="45">
        <f t="shared" si="32"/>
        <v>73.73905990399598</v>
      </c>
      <c r="O43" s="45">
        <f t="shared" si="32"/>
        <v>73.977653057359362</v>
      </c>
      <c r="P43" s="45">
        <f t="shared" si="32"/>
        <v>74.216145140397316</v>
      </c>
      <c r="Q43" s="45">
        <f t="shared" si="32"/>
        <v>74.454532713833729</v>
      </c>
      <c r="R43" s="45">
        <f t="shared" si="32"/>
        <v>74.692812349571412</v>
      </c>
      <c r="S43" s="45">
        <f t="shared" si="32"/>
        <v>74.930980631139334</v>
      </c>
      <c r="T43" s="45">
        <f t="shared" si="32"/>
        <v>75.169034154136327</v>
      </c>
      <c r="U43" s="45">
        <f t="shared" si="32"/>
        <v>75.406969526672597</v>
      </c>
      <c r="V43" s="45">
        <f t="shared" si="32"/>
        <v>75.644783369807612</v>
      </c>
      <c r="W43" s="45">
        <f t="shared" si="32"/>
        <v>75.88247231798502</v>
      </c>
      <c r="X43" s="45">
        <f t="shared" si="32"/>
        <v>76.120033019464216</v>
      </c>
      <c r="Y43" s="45">
        <f t="shared" si="32"/>
        <v>76.357462136748381</v>
      </c>
      <c r="Z43" s="45">
        <f t="shared" si="32"/>
        <v>76.594756347008953</v>
      </c>
    </row>
    <row r="44" spans="2:26" x14ac:dyDescent="0.25">
      <c r="B44" t="s">
        <v>164</v>
      </c>
      <c r="C44" s="2" t="s">
        <v>165</v>
      </c>
      <c r="D44" t="s">
        <v>23</v>
      </c>
      <c r="E44" s="44">
        <f>INDEX(M41:Z41,E42)</f>
        <v>2.041676920286465E-2</v>
      </c>
      <c r="J44" t="s">
        <v>115</v>
      </c>
      <c r="K44" s="5">
        <f>$E$30*POWER(K41, 3)+$F$30*POWER(K41, 2)+$G$30*K41+$H$30</f>
        <v>20.864759435416548</v>
      </c>
      <c r="L44" s="5">
        <f>$E$30*POWER(L41, 3)+$F$30*POWER(L41, 2)+$G$30*L41+$H$30</f>
        <v>20.660714743095348</v>
      </c>
      <c r="M44" s="5">
        <f>$E$30*POWER(M41, 3)+$F$30*POWER(M41, 2)+$G$30*M41+$H$30</f>
        <v>20.636241101518529</v>
      </c>
      <c r="N44" s="5">
        <f>$E$30*POWER(N41, 3)+$F$30*POWER(N41, 2)+$G$30*N41+$H$30</f>
        <v>20.611992339758732</v>
      </c>
      <c r="O44" s="5">
        <f t="shared" ref="O44:S44" si="33">$E$30*POWER(O41, 3)+$F$30*POWER(O41, 2)+$G$30*O41+$H$30</f>
        <v>20.587967097216758</v>
      </c>
      <c r="P44" s="5">
        <f t="shared" si="33"/>
        <v>20.564164003553806</v>
      </c>
      <c r="Q44" s="5">
        <f t="shared" si="33"/>
        <v>20.540581678911821</v>
      </c>
      <c r="R44" s="5">
        <f t="shared" si="33"/>
        <v>20.517218734135234</v>
      </c>
      <c r="S44" s="5">
        <f t="shared" si="33"/>
        <v>20.494073770994309</v>
      </c>
      <c r="T44" s="5">
        <f>$E$30*POWER(T41, 3)+$F$30*POWER(T41, 2)+$G$30*T41+$H$30</f>
        <v>20.471145382409695</v>
      </c>
      <c r="U44" s="5">
        <f t="shared" ref="U44:Z44" si="34">$E$30*POWER(U41, 3)+$F$30*POWER(U41, 2)+$G$30*U41+$H$30</f>
        <v>20.448432152678347</v>
      </c>
      <c r="V44" s="5">
        <f t="shared" si="34"/>
        <v>20.425932657700567</v>
      </c>
      <c r="W44" s="5">
        <f t="shared" si="34"/>
        <v>20.403645465208257</v>
      </c>
      <c r="X44" s="5">
        <f t="shared" si="34"/>
        <v>20.381569134993988</v>
      </c>
      <c r="Y44" s="5">
        <f t="shared" si="34"/>
        <v>20.359702219141198</v>
      </c>
      <c r="Z44" s="5">
        <f t="shared" si="34"/>
        <v>20.338043262255063</v>
      </c>
    </row>
    <row r="45" spans="2:26" x14ac:dyDescent="0.25">
      <c r="E45" s="9">
        <f>E44*3600</f>
        <v>73.500369130312734</v>
      </c>
      <c r="J45" t="s">
        <v>154</v>
      </c>
      <c r="K45" s="5">
        <f>K41/'1 pompa'!$G$35</f>
        <v>2.0865380273210548</v>
      </c>
      <c r="L45" s="5">
        <f>L41/'1 pompa'!$G$35</f>
        <v>2.1424898725703083</v>
      </c>
      <c r="M45" s="5">
        <f>M41/'1 pompa'!$G$35</f>
        <v>2.1494729907737695</v>
      </c>
      <c r="N45" s="5">
        <f>N41/'1 pompa'!$G$35</f>
        <v>2.156453355324992</v>
      </c>
      <c r="O45" s="5">
        <f>O41/'1 pompa'!$G$35</f>
        <v>2.1634308650301324</v>
      </c>
      <c r="P45" s="5">
        <f>P41/'1 pompa'!$G$35</f>
        <v>2.1704054189959034</v>
      </c>
      <c r="Q45" s="5">
        <f>Q41/'1 pompa'!$G$35</f>
        <v>2.1773769166427952</v>
      </c>
      <c r="R45" s="5">
        <f>R41/'1 pompa'!$G$35</f>
        <v>2.1843452577182192</v>
      </c>
      <c r="S45" s="5">
        <f>S41/'1 pompa'!$G$35</f>
        <v>2.1913103423095848</v>
      </c>
      <c r="T45" s="5">
        <f>T41/'1 pompa'!$G$35</f>
        <v>2.1982720708572794</v>
      </c>
      <c r="U45" s="5">
        <f>U41/'1 pompa'!$G$35</f>
        <v>2.205230344167576</v>
      </c>
      <c r="V45" s="5">
        <f>V41/'1 pompa'!$G$35</f>
        <v>2.2121850634254421</v>
      </c>
      <c r="W45" s="5">
        <f>W41/'1 pompa'!$G$35</f>
        <v>2.2191361302072554</v>
      </c>
      <c r="X45" s="5">
        <f>X41/'1 pompa'!$G$35</f>
        <v>2.2260834464934294</v>
      </c>
      <c r="Y45" s="5">
        <f>Y41/'1 pompa'!$G$35</f>
        <v>2.2330269146809258</v>
      </c>
      <c r="Z45" s="5">
        <f>Z41/'1 pompa'!$G$35</f>
        <v>2.2399664375956716</v>
      </c>
    </row>
    <row r="46" spans="2:26" x14ac:dyDescent="0.25">
      <c r="E46" s="9">
        <f>E44*1000</f>
        <v>20.41676920286465</v>
      </c>
      <c r="J46" t="s">
        <v>155</v>
      </c>
      <c r="K46" s="5">
        <f>K41/'1 pompa'!$G$44</f>
        <v>0.77923179415385069</v>
      </c>
      <c r="L46" s="5">
        <f>L41/'1 pompa'!$G$44</f>
        <v>0.80012739068212124</v>
      </c>
      <c r="M46" s="5">
        <f>M41/'1 pompa'!$G$44</f>
        <v>0.80273528359143864</v>
      </c>
      <c r="N46" s="5">
        <f>N41/'1 pompa'!$G$44</f>
        <v>0.80534214813062988</v>
      </c>
      <c r="O46" s="5">
        <f>O41/'1 pompa'!$G$44</f>
        <v>0.80794794650816681</v>
      </c>
      <c r="P46" s="5">
        <f>P41/'1 pompa'!$G$44</f>
        <v>0.81055264104476643</v>
      </c>
      <c r="Q46" s="5">
        <f>Q41/'1 pompa'!$G$44</f>
        <v>0.81315619417832785</v>
      </c>
      <c r="R46" s="5">
        <f>R41/'1 pompa'!$G$44</f>
        <v>0.81575856846884109</v>
      </c>
      <c r="S46" s="5">
        <f>S41/'1 pompa'!$G$44</f>
        <v>0.81835972660327094</v>
      </c>
      <c r="T46" s="5">
        <f>T41/'1 pompa'!$G$44</f>
        <v>0.82095963140040373</v>
      </c>
      <c r="U46" s="5">
        <f>U41/'1 pompa'!$G$44</f>
        <v>0.82355824581566883</v>
      </c>
      <c r="V46" s="5">
        <f>V41/'1 pompa'!$G$44</f>
        <v>0.82615553294592126</v>
      </c>
      <c r="W46" s="5">
        <f>W41/'1 pompa'!$G$44</f>
        <v>0.82875145603419109</v>
      </c>
      <c r="X46" s="5">
        <f>X41/'1 pompa'!$G$44</f>
        <v>0.83134597847439795</v>
      </c>
      <c r="Y46" s="5">
        <f>Y41/'1 pompa'!$G$44</f>
        <v>0.83393906381602478</v>
      </c>
      <c r="Z46" s="5">
        <f>Z41/'1 pompa'!$G$44</f>
        <v>0.83653067576875406</v>
      </c>
    </row>
    <row r="47" spans="2:26" x14ac:dyDescent="0.25">
      <c r="B47" t="s">
        <v>174</v>
      </c>
      <c r="C47" s="2" t="s">
        <v>175</v>
      </c>
      <c r="D47" t="s">
        <v>23</v>
      </c>
      <c r="E47" s="9">
        <f>INDEX(M33:Z33,E42)</f>
        <v>95.641082802547714</v>
      </c>
    </row>
    <row r="48" spans="2:26" x14ac:dyDescent="0.25">
      <c r="J48" t="s">
        <v>116</v>
      </c>
      <c r="K48" s="28"/>
      <c r="L48" s="28"/>
      <c r="M48" s="5">
        <f>(M33-K33)*$E$33</f>
        <v>2.8259999999998393</v>
      </c>
      <c r="N48" s="5">
        <f>(N33-M33)*$E$33</f>
        <v>0.31399999999998218</v>
      </c>
      <c r="O48" s="5">
        <f>(O33-N33)*$E$33</f>
        <v>0.31399999999998218</v>
      </c>
      <c r="P48" s="5">
        <f t="shared" ref="P48:Z48" si="35">(P33-O33)*$E$33</f>
        <v>0.31399999999998218</v>
      </c>
      <c r="Q48" s="5">
        <f t="shared" si="35"/>
        <v>0.31399999999998218</v>
      </c>
      <c r="R48" s="5">
        <f t="shared" si="35"/>
        <v>0.31399999999998218</v>
      </c>
      <c r="S48" s="5">
        <f t="shared" si="35"/>
        <v>0.31399999999998218</v>
      </c>
      <c r="T48" s="5">
        <f t="shared" si="35"/>
        <v>0.31399999999998218</v>
      </c>
      <c r="U48" s="5">
        <f t="shared" si="35"/>
        <v>0.31399999999998218</v>
      </c>
      <c r="V48" s="5">
        <f t="shared" si="35"/>
        <v>0.31399999999998218</v>
      </c>
      <c r="W48" s="5">
        <f t="shared" si="35"/>
        <v>0.31399999999998218</v>
      </c>
      <c r="X48" s="5">
        <f t="shared" si="35"/>
        <v>0.31399999999998218</v>
      </c>
      <c r="Y48" s="5">
        <f t="shared" si="35"/>
        <v>0.31399999999998218</v>
      </c>
      <c r="Z48" s="5">
        <f t="shared" si="35"/>
        <v>0.31399999999998218</v>
      </c>
    </row>
    <row r="49" spans="2:26" x14ac:dyDescent="0.25">
      <c r="J49" t="s">
        <v>117</v>
      </c>
      <c r="M49" s="36">
        <f>AVERAGEA(M41,K41)</f>
        <v>2.0117875327686843E-2</v>
      </c>
      <c r="N49" s="36">
        <f t="shared" ref="N49:Z49" si="36">AVERAGEA(N41,M41)</f>
        <v>2.0449920699209544E-2</v>
      </c>
      <c r="O49" s="36">
        <f t="shared" si="36"/>
        <v>2.0516210133521576E-2</v>
      </c>
      <c r="P49" s="36">
        <f t="shared" si="36"/>
        <v>2.0582471971910651E-2</v>
      </c>
      <c r="Q49" s="36">
        <f t="shared" si="36"/>
        <v>2.0648705257532089E-2</v>
      </c>
      <c r="R49" s="36">
        <f t="shared" si="36"/>
        <v>2.0714909036584045E-2</v>
      </c>
      <c r="S49" s="36">
        <f t="shared" si="36"/>
        <v>2.0781082358432047E-2</v>
      </c>
      <c r="T49" s="36">
        <f t="shared" si="36"/>
        <v>2.0847224275732729E-2</v>
      </c>
      <c r="U49" s="36">
        <f t="shared" si="36"/>
        <v>2.0913333844556792E-2</v>
      </c>
      <c r="V49" s="36">
        <f t="shared" si="36"/>
        <v>2.0979410124511141E-2</v>
      </c>
      <c r="W49" s="36">
        <f t="shared" si="36"/>
        <v>2.1045452178860086E-2</v>
      </c>
      <c r="X49" s="36">
        <f t="shared" si="36"/>
        <v>2.1111459074645726E-2</v>
      </c>
      <c r="Y49" s="36">
        <f t="shared" si="36"/>
        <v>2.1177429882807304E-2</v>
      </c>
      <c r="Z49" s="36">
        <f t="shared" si="36"/>
        <v>2.1243363678299633E-2</v>
      </c>
    </row>
    <row r="50" spans="2:26" x14ac:dyDescent="0.25">
      <c r="B50" t="s">
        <v>178</v>
      </c>
      <c r="C50" s="2" t="s">
        <v>179</v>
      </c>
      <c r="D50" t="s">
        <v>23</v>
      </c>
      <c r="E50" s="44">
        <f>MAX('1 pompa'!$I$18, '1 pompa'!$E$88)</f>
        <v>1.71802223835694E-2</v>
      </c>
      <c r="J50" t="s">
        <v>118</v>
      </c>
      <c r="M50" s="5">
        <f t="shared" ref="M50:Z50" si="37">M48/M49</f>
        <v>140.47209031614838</v>
      </c>
      <c r="N50" s="5">
        <f t="shared" si="37"/>
        <v>15.354582769219213</v>
      </c>
      <c r="O50" s="5">
        <f t="shared" si="37"/>
        <v>15.304970945239806</v>
      </c>
      <c r="P50" s="5">
        <f t="shared" si="37"/>
        <v>15.255699141896311</v>
      </c>
      <c r="Q50" s="5">
        <f t="shared" si="37"/>
        <v>15.206764592924948</v>
      </c>
      <c r="R50" s="5">
        <f t="shared" si="37"/>
        <v>15.158164558938454</v>
      </c>
      <c r="S50" s="5">
        <f t="shared" si="37"/>
        <v>15.109896327058962</v>
      </c>
      <c r="T50" s="5">
        <f t="shared" si="37"/>
        <v>15.061957210557512</v>
      </c>
      <c r="U50" s="5">
        <f t="shared" si="37"/>
        <v>15.014344548500018</v>
      </c>
      <c r="V50" s="5">
        <f t="shared" si="37"/>
        <v>14.967055705399579</v>
      </c>
      <c r="W50" s="5">
        <f t="shared" si="37"/>
        <v>14.920088070875073</v>
      </c>
      <c r="X50" s="5">
        <f t="shared" si="37"/>
        <v>14.873439059315773</v>
      </c>
      <c r="Y50" s="5">
        <f t="shared" si="37"/>
        <v>14.827106109552043</v>
      </c>
      <c r="Z50" s="5">
        <f t="shared" si="37"/>
        <v>14.781086684531846</v>
      </c>
    </row>
    <row r="51" spans="2:26" x14ac:dyDescent="0.25">
      <c r="B51" t="s">
        <v>180</v>
      </c>
      <c r="C51" s="2" t="s">
        <v>171</v>
      </c>
      <c r="D51" t="s">
        <v>23</v>
      </c>
      <c r="E51" s="44">
        <f>'1 pompa'!$I$19</f>
        <v>2.2200000000000001E-2</v>
      </c>
      <c r="J51" t="s">
        <v>120</v>
      </c>
      <c r="M51" s="5">
        <f>M48+K51</f>
        <v>2.8259999999998393</v>
      </c>
      <c r="N51" s="5">
        <f t="shared" ref="N51:Z51" si="38">N48+M51</f>
        <v>3.1399999999998216</v>
      </c>
      <c r="O51" s="5">
        <f t="shared" si="38"/>
        <v>3.4539999999998039</v>
      </c>
      <c r="P51" s="5">
        <f t="shared" si="38"/>
        <v>3.7679999999997862</v>
      </c>
      <c r="Q51" s="5">
        <f t="shared" si="38"/>
        <v>4.081999999999768</v>
      </c>
      <c r="R51" s="5">
        <f t="shared" si="38"/>
        <v>4.3959999999997503</v>
      </c>
      <c r="S51" s="5">
        <f t="shared" si="38"/>
        <v>4.7099999999997326</v>
      </c>
      <c r="T51" s="5">
        <f t="shared" si="38"/>
        <v>5.0239999999997149</v>
      </c>
      <c r="U51" s="5">
        <f t="shared" si="38"/>
        <v>5.3379999999996972</v>
      </c>
      <c r="V51" s="5">
        <f t="shared" si="38"/>
        <v>5.6519999999996795</v>
      </c>
      <c r="W51" s="5">
        <f t="shared" si="38"/>
        <v>5.9659999999996618</v>
      </c>
      <c r="X51" s="5">
        <f t="shared" si="38"/>
        <v>6.2799999999996441</v>
      </c>
      <c r="Y51" s="5">
        <f t="shared" si="38"/>
        <v>6.5939999999996264</v>
      </c>
      <c r="Z51" s="5">
        <f t="shared" si="38"/>
        <v>6.9079999999996087</v>
      </c>
    </row>
    <row r="52" spans="2:26" x14ac:dyDescent="0.25">
      <c r="J52" t="s">
        <v>119</v>
      </c>
      <c r="M52" s="5">
        <f>M50+K52</f>
        <v>140.47209031614838</v>
      </c>
      <c r="N52" s="5">
        <f t="shared" ref="N52:Z52" si="39">N50+M52</f>
        <v>155.82667308536759</v>
      </c>
      <c r="O52" s="5">
        <f t="shared" si="39"/>
        <v>171.13164403060739</v>
      </c>
      <c r="P52" s="5">
        <f t="shared" si="39"/>
        <v>186.38734317250371</v>
      </c>
      <c r="Q52" s="5">
        <f t="shared" si="39"/>
        <v>201.59410776542865</v>
      </c>
      <c r="R52" s="5">
        <f t="shared" si="39"/>
        <v>216.75227232436711</v>
      </c>
      <c r="S52" s="5">
        <f t="shared" si="39"/>
        <v>231.86216865142609</v>
      </c>
      <c r="T52" s="5">
        <f t="shared" si="39"/>
        <v>246.92412586198361</v>
      </c>
      <c r="U52" s="5">
        <f t="shared" si="39"/>
        <v>261.9384704104836</v>
      </c>
      <c r="V52" s="5">
        <f t="shared" si="39"/>
        <v>276.90552611588316</v>
      </c>
      <c r="W52" s="5">
        <f t="shared" si="39"/>
        <v>291.82561418675823</v>
      </c>
      <c r="X52" s="5">
        <f t="shared" si="39"/>
        <v>306.69905324607402</v>
      </c>
      <c r="Y52" s="5">
        <f t="shared" si="39"/>
        <v>321.52615935562608</v>
      </c>
      <c r="Z52" s="5">
        <f t="shared" si="39"/>
        <v>336.30724604015791</v>
      </c>
    </row>
    <row r="53" spans="2:26" x14ac:dyDescent="0.25">
      <c r="J53" t="s">
        <v>176</v>
      </c>
      <c r="M53" s="36">
        <f>M51/M52</f>
        <v>2.0117875327686843E-2</v>
      </c>
      <c r="N53" s="36">
        <f t="shared" ref="N53:Z53" si="40">N51/N52</f>
        <v>2.0150593847817144E-2</v>
      </c>
      <c r="O53" s="36">
        <f t="shared" si="40"/>
        <v>2.0183292339446268E-2</v>
      </c>
      <c r="P53" s="36">
        <f t="shared" si="40"/>
        <v>2.0215964967709516E-2</v>
      </c>
      <c r="Q53" s="36">
        <f t="shared" si="40"/>
        <v>2.0248607686240074E-2</v>
      </c>
      <c r="R53" s="36">
        <f t="shared" si="40"/>
        <v>2.0281217598591954E-2</v>
      </c>
      <c r="S53" s="36">
        <f t="shared" si="40"/>
        <v>2.0313792575107802E-2</v>
      </c>
      <c r="T53" s="36">
        <f t="shared" si="40"/>
        <v>2.0346331013470276E-2</v>
      </c>
      <c r="U53" s="36">
        <f t="shared" si="40"/>
        <v>2.0378831683771081E-2</v>
      </c>
      <c r="V53" s="36">
        <f t="shared" si="40"/>
        <v>2.0411293625228536E-2</v>
      </c>
      <c r="W53" s="36">
        <f t="shared" si="40"/>
        <v>2.0443716075524577E-2</v>
      </c>
      <c r="X53" s="36">
        <f t="shared" si="40"/>
        <v>2.0476098421344027E-2</v>
      </c>
      <c r="Y53" s="36">
        <f t="shared" si="40"/>
        <v>2.0508440163048414E-2</v>
      </c>
      <c r="Z53" s="36">
        <f t="shared" si="40"/>
        <v>2.0540740888986778E-2</v>
      </c>
    </row>
    <row r="54" spans="2:26" x14ac:dyDescent="0.25">
      <c r="J54" t="s">
        <v>121</v>
      </c>
      <c r="M54" s="5">
        <f>3600*M53</f>
        <v>72.424351179672641</v>
      </c>
      <c r="N54" s="5">
        <f t="shared" ref="N54:Z54" si="41">3600*N53</f>
        <v>72.542137852141721</v>
      </c>
      <c r="O54" s="5">
        <f t="shared" si="41"/>
        <v>72.659852422006566</v>
      </c>
      <c r="P54" s="5">
        <f t="shared" si="41"/>
        <v>72.777473883754254</v>
      </c>
      <c r="Q54" s="5">
        <f t="shared" si="41"/>
        <v>72.894987670464261</v>
      </c>
      <c r="R54" s="5">
        <f t="shared" si="41"/>
        <v>73.012383354931032</v>
      </c>
      <c r="S54" s="5">
        <f t="shared" si="41"/>
        <v>73.12965327038809</v>
      </c>
      <c r="T54" s="5">
        <f t="shared" si="41"/>
        <v>73.246791648492987</v>
      </c>
      <c r="U54" s="5">
        <f t="shared" si="41"/>
        <v>73.363794061575888</v>
      </c>
      <c r="V54" s="5">
        <f t="shared" si="41"/>
        <v>73.480657050822728</v>
      </c>
      <c r="W54" s="5">
        <f t="shared" si="41"/>
        <v>73.597377871888483</v>
      </c>
      <c r="X54" s="5">
        <f t="shared" si="41"/>
        <v>73.713954316838496</v>
      </c>
      <c r="Y54" s="5">
        <f t="shared" si="41"/>
        <v>73.83038458697429</v>
      </c>
      <c r="Z54" s="5">
        <f t="shared" si="41"/>
        <v>73.946667200352408</v>
      </c>
    </row>
    <row r="55" spans="2:26" x14ac:dyDescent="0.25">
      <c r="J55" t="s">
        <v>177</v>
      </c>
      <c r="M55" s="36">
        <f>IF((M53/2)&lt;$E$50, $E$50, IF((M53/2)&gt;$E$51, $E$51, M53/2))</f>
        <v>1.71802223835694E-2</v>
      </c>
      <c r="N55" s="36">
        <f t="shared" ref="N55:Z55" si="42">IF((N53/2)&lt;$E$50, $E$50, IF((N53/2)&gt;$E$51, $E$51, N53/2))</f>
        <v>1.71802223835694E-2</v>
      </c>
      <c r="O55" s="36">
        <f t="shared" si="42"/>
        <v>1.71802223835694E-2</v>
      </c>
      <c r="P55" s="36">
        <f t="shared" si="42"/>
        <v>1.71802223835694E-2</v>
      </c>
      <c r="Q55" s="36">
        <f t="shared" si="42"/>
        <v>1.71802223835694E-2</v>
      </c>
      <c r="R55" s="36">
        <f t="shared" si="42"/>
        <v>1.71802223835694E-2</v>
      </c>
      <c r="S55" s="36">
        <f t="shared" si="42"/>
        <v>1.71802223835694E-2</v>
      </c>
      <c r="T55" s="36">
        <f t="shared" si="42"/>
        <v>1.71802223835694E-2</v>
      </c>
      <c r="U55" s="36">
        <f t="shared" si="42"/>
        <v>1.71802223835694E-2</v>
      </c>
      <c r="V55" s="36">
        <f t="shared" si="42"/>
        <v>1.71802223835694E-2</v>
      </c>
      <c r="W55" s="36">
        <f t="shared" si="42"/>
        <v>1.71802223835694E-2</v>
      </c>
      <c r="X55" s="36">
        <f t="shared" si="42"/>
        <v>1.71802223835694E-2</v>
      </c>
      <c r="Y55" s="36">
        <f t="shared" si="42"/>
        <v>1.71802223835694E-2</v>
      </c>
      <c r="Z55" s="36">
        <f t="shared" si="42"/>
        <v>1.71802223835694E-2</v>
      </c>
    </row>
    <row r="56" spans="2:26" x14ac:dyDescent="0.25">
      <c r="J56" t="s">
        <v>124</v>
      </c>
      <c r="M56" s="5">
        <f>M55*3600</f>
        <v>61.84880058084984</v>
      </c>
      <c r="N56" s="5">
        <f t="shared" ref="N56:Z56" si="43">N55*3600</f>
        <v>61.84880058084984</v>
      </c>
      <c r="O56" s="5">
        <f t="shared" si="43"/>
        <v>61.84880058084984</v>
      </c>
      <c r="P56" s="5">
        <f t="shared" si="43"/>
        <v>61.84880058084984</v>
      </c>
      <c r="Q56" s="5">
        <f t="shared" si="43"/>
        <v>61.84880058084984</v>
      </c>
      <c r="R56" s="5">
        <f t="shared" si="43"/>
        <v>61.84880058084984</v>
      </c>
      <c r="S56" s="5">
        <f t="shared" si="43"/>
        <v>61.84880058084984</v>
      </c>
      <c r="T56" s="5">
        <f t="shared" si="43"/>
        <v>61.84880058084984</v>
      </c>
      <c r="U56" s="5">
        <f t="shared" si="43"/>
        <v>61.84880058084984</v>
      </c>
      <c r="V56" s="5">
        <f t="shared" si="43"/>
        <v>61.84880058084984</v>
      </c>
      <c r="W56" s="5">
        <f t="shared" si="43"/>
        <v>61.84880058084984</v>
      </c>
      <c r="X56" s="5">
        <f t="shared" si="43"/>
        <v>61.84880058084984</v>
      </c>
      <c r="Y56" s="5">
        <f t="shared" si="43"/>
        <v>61.84880058084984</v>
      </c>
      <c r="Z56" s="5">
        <f t="shared" si="43"/>
        <v>61.84880058084984</v>
      </c>
    </row>
    <row r="57" spans="2:26" x14ac:dyDescent="0.25">
      <c r="J57" t="s">
        <v>152</v>
      </c>
      <c r="M57" s="5">
        <f>M55*1000</f>
        <v>17.180222383569401</v>
      </c>
      <c r="N57" s="5">
        <f t="shared" ref="N57:Z57" si="44">N55*1000</f>
        <v>17.180222383569401</v>
      </c>
      <c r="O57" s="5">
        <f t="shared" si="44"/>
        <v>17.180222383569401</v>
      </c>
      <c r="P57" s="5">
        <f t="shared" si="44"/>
        <v>17.180222383569401</v>
      </c>
      <c r="Q57" s="5">
        <f t="shared" si="44"/>
        <v>17.180222383569401</v>
      </c>
      <c r="R57" s="5">
        <f t="shared" si="44"/>
        <v>17.180222383569401</v>
      </c>
      <c r="S57" s="5">
        <f t="shared" si="44"/>
        <v>17.180222383569401</v>
      </c>
      <c r="T57" s="5">
        <f t="shared" si="44"/>
        <v>17.180222383569401</v>
      </c>
      <c r="U57" s="5">
        <f t="shared" si="44"/>
        <v>17.180222383569401</v>
      </c>
      <c r="V57" s="5">
        <f t="shared" si="44"/>
        <v>17.180222383569401</v>
      </c>
      <c r="W57" s="5">
        <f t="shared" si="44"/>
        <v>17.180222383569401</v>
      </c>
      <c r="X57" s="5">
        <f t="shared" si="44"/>
        <v>17.180222383569401</v>
      </c>
      <c r="Y57" s="5">
        <f t="shared" si="44"/>
        <v>17.180222383569401</v>
      </c>
      <c r="Z57" s="5">
        <f t="shared" si="44"/>
        <v>17.180222383569401</v>
      </c>
    </row>
    <row r="58" spans="2:26" x14ac:dyDescent="0.25">
      <c r="J58" t="s">
        <v>125</v>
      </c>
      <c r="M58" s="5">
        <f>M54-M56</f>
        <v>10.575550598822801</v>
      </c>
      <c r="N58" s="5">
        <f t="shared" ref="N58:Z58" si="45">N54-N56</f>
        <v>10.693337271291881</v>
      </c>
      <c r="O58" s="5">
        <f t="shared" si="45"/>
        <v>10.811051841156726</v>
      </c>
      <c r="P58" s="5">
        <f t="shared" si="45"/>
        <v>10.928673302904414</v>
      </c>
      <c r="Q58" s="5">
        <f t="shared" si="45"/>
        <v>11.046187089614421</v>
      </c>
      <c r="R58" s="5">
        <f t="shared" si="45"/>
        <v>11.163582774081192</v>
      </c>
      <c r="S58" s="5">
        <f t="shared" si="45"/>
        <v>11.28085268953825</v>
      </c>
      <c r="T58" s="5">
        <f t="shared" si="45"/>
        <v>11.397991067643147</v>
      </c>
      <c r="U58" s="5">
        <f t="shared" si="45"/>
        <v>11.514993480726048</v>
      </c>
      <c r="V58" s="5">
        <f t="shared" si="45"/>
        <v>11.631856469972888</v>
      </c>
      <c r="W58" s="5">
        <f t="shared" si="45"/>
        <v>11.748577291038643</v>
      </c>
      <c r="X58" s="5">
        <f t="shared" si="45"/>
        <v>11.865153735988656</v>
      </c>
      <c r="Y58" s="5">
        <f t="shared" si="45"/>
        <v>11.98158400612445</v>
      </c>
      <c r="Z58" s="5">
        <f t="shared" si="45"/>
        <v>12.097866619502568</v>
      </c>
    </row>
    <row r="59" spans="2:26" x14ac:dyDescent="0.25">
      <c r="J59" t="s">
        <v>127</v>
      </c>
      <c r="M59" s="37">
        <f>M$51/(M56/3600)</f>
        <v>164.49146797439204</v>
      </c>
      <c r="N59" s="37">
        <f t="shared" ref="N59:Z59" si="46">N$51/(N56/3600)</f>
        <v>182.76829774932449</v>
      </c>
      <c r="O59" s="37">
        <f t="shared" si="46"/>
        <v>201.04512752425697</v>
      </c>
      <c r="P59" s="37">
        <f t="shared" si="46"/>
        <v>219.32195729918942</v>
      </c>
      <c r="Q59" s="37">
        <f t="shared" si="46"/>
        <v>237.59878707412184</v>
      </c>
      <c r="R59" s="37">
        <f t="shared" si="46"/>
        <v>255.8756168490543</v>
      </c>
      <c r="S59" s="37">
        <f t="shared" si="46"/>
        <v>274.15244662398675</v>
      </c>
      <c r="T59" s="37">
        <f t="shared" si="46"/>
        <v>292.42927639891923</v>
      </c>
      <c r="U59" s="37">
        <f t="shared" si="46"/>
        <v>310.70610617385165</v>
      </c>
      <c r="V59" s="37">
        <f t="shared" si="46"/>
        <v>328.98293594878413</v>
      </c>
      <c r="W59" s="37">
        <f t="shared" si="46"/>
        <v>347.25976572371661</v>
      </c>
      <c r="X59" s="37">
        <f t="shared" si="46"/>
        <v>365.53659549864904</v>
      </c>
      <c r="Y59" s="37">
        <f t="shared" si="46"/>
        <v>383.81342527358152</v>
      </c>
      <c r="Z59" s="37">
        <f t="shared" si="46"/>
        <v>402.09025504851394</v>
      </c>
    </row>
    <row r="60" spans="2:26" x14ac:dyDescent="0.25">
      <c r="J60" t="s">
        <v>128</v>
      </c>
      <c r="M60" s="37">
        <f>M$51/(M58/3600)</f>
        <v>961.99246601230186</v>
      </c>
      <c r="N60" s="37">
        <f t="shared" ref="N60:Z60" si="47">N$51/(N58/3600)</f>
        <v>1057.1068426268482</v>
      </c>
      <c r="O60" s="37">
        <f t="shared" si="47"/>
        <v>1150.1563569108628</v>
      </c>
      <c r="P60" s="37">
        <f t="shared" si="47"/>
        <v>1241.2119590393681</v>
      </c>
      <c r="Q60" s="37">
        <f t="shared" si="47"/>
        <v>1330.3414002299066</v>
      </c>
      <c r="R60" s="37">
        <f t="shared" si="47"/>
        <v>1417.6094109090002</v>
      </c>
      <c r="S60" s="37">
        <f t="shared" si="47"/>
        <v>1503.0778671300143</v>
      </c>
      <c r="T60" s="37">
        <f t="shared" si="47"/>
        <v>1586.805946123525</v>
      </c>
      <c r="U60" s="37">
        <f t="shared" si="47"/>
        <v>1668.8502717925328</v>
      </c>
      <c r="V60" s="37">
        <f t="shared" si="47"/>
        <v>1749.2650508991599</v>
      </c>
      <c r="W60" s="37">
        <f t="shared" si="47"/>
        <v>1828.1022006282462</v>
      </c>
      <c r="X60" s="37">
        <f t="shared" si="47"/>
        <v>1905.4114681570049</v>
      </c>
      <c r="Y60" s="37">
        <f t="shared" si="47"/>
        <v>1981.2405428084171</v>
      </c>
      <c r="Z60" s="37">
        <f t="shared" si="47"/>
        <v>2055.6351613191391</v>
      </c>
    </row>
    <row r="61" spans="2:26" x14ac:dyDescent="0.25">
      <c r="J61" t="s">
        <v>126</v>
      </c>
      <c r="M61" s="37">
        <f>M59+M60</f>
        <v>1126.483933986694</v>
      </c>
      <c r="N61" s="37">
        <f t="shared" ref="N61:Z61" si="48">N59+N60</f>
        <v>1239.8751403761728</v>
      </c>
      <c r="O61" s="37">
        <f t="shared" si="48"/>
        <v>1351.2014844351197</v>
      </c>
      <c r="P61" s="37">
        <f t="shared" si="48"/>
        <v>1460.5339163385574</v>
      </c>
      <c r="Q61" s="37">
        <f t="shared" si="48"/>
        <v>1567.9401873040285</v>
      </c>
      <c r="R61" s="37">
        <f t="shared" si="48"/>
        <v>1673.4850277580545</v>
      </c>
      <c r="S61" s="37">
        <f t="shared" si="48"/>
        <v>1777.2303137540011</v>
      </c>
      <c r="T61" s="37">
        <f t="shared" si="48"/>
        <v>1879.2352225224442</v>
      </c>
      <c r="U61" s="37">
        <f t="shared" si="48"/>
        <v>1979.5563779663844</v>
      </c>
      <c r="V61" s="37">
        <f t="shared" si="48"/>
        <v>2078.247986847944</v>
      </c>
      <c r="W61" s="37">
        <f t="shared" si="48"/>
        <v>2175.361966351963</v>
      </c>
      <c r="X61" s="37">
        <f t="shared" si="48"/>
        <v>2270.9480636556541</v>
      </c>
      <c r="Y61" s="37">
        <f t="shared" si="48"/>
        <v>2365.0539680819984</v>
      </c>
      <c r="Z61" s="37">
        <f t="shared" si="48"/>
        <v>2457.725416367653</v>
      </c>
    </row>
    <row r="63" spans="2:26" x14ac:dyDescent="0.25">
      <c r="J63" t="s">
        <v>129</v>
      </c>
      <c r="M63" s="28">
        <f>$M$49*3600</f>
        <v>72.424351179672641</v>
      </c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2:26" x14ac:dyDescent="0.25">
      <c r="J64" t="s">
        <v>125</v>
      </c>
      <c r="M64" s="28">
        <f>M63-$M56</f>
        <v>10.575550598822801</v>
      </c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0:26" x14ac:dyDescent="0.25">
      <c r="J65" t="s">
        <v>128</v>
      </c>
      <c r="M65" s="28">
        <f>$M$48/(M64/3600)</f>
        <v>961.99246601230186</v>
      </c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0:26" x14ac:dyDescent="0.25">
      <c r="J66" t="s">
        <v>130</v>
      </c>
      <c r="M66" s="28">
        <f>K66+M65</f>
        <v>961.99246601230186</v>
      </c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8" spans="10:26" x14ac:dyDescent="0.25">
      <c r="J68" t="s">
        <v>129</v>
      </c>
      <c r="M68" s="28">
        <f>M$49*3600</f>
        <v>72.424351179672641</v>
      </c>
      <c r="N68" s="28">
        <f t="shared" ref="N68" si="49">N$49*3600</f>
        <v>73.619714517154364</v>
      </c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0:26" x14ac:dyDescent="0.25">
      <c r="J69" t="s">
        <v>125</v>
      </c>
      <c r="M69" s="28">
        <f>M68-$N$56</f>
        <v>10.575550598822801</v>
      </c>
      <c r="N69" s="28">
        <f t="shared" ref="N69" si="50">N68-$N$56</f>
        <v>11.770913936304524</v>
      </c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0:26" x14ac:dyDescent="0.25">
      <c r="J70" t="s">
        <v>128</v>
      </c>
      <c r="M70" s="28">
        <f>M$48/(M69/3600)</f>
        <v>961.99246601230186</v>
      </c>
      <c r="N70" s="28">
        <f t="shared" ref="N70" si="51">N$48/(N69/3600)</f>
        <v>96.033324694821843</v>
      </c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0:26" x14ac:dyDescent="0.25">
      <c r="J71" t="s">
        <v>130</v>
      </c>
      <c r="M71" s="28">
        <f>K71+M70</f>
        <v>961.99246601230186</v>
      </c>
      <c r="N71" s="28">
        <f t="shared" ref="N71" si="52">M71+N70</f>
        <v>1058.0257907071236</v>
      </c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3" spans="10:26" x14ac:dyDescent="0.25">
      <c r="J73" t="s">
        <v>129</v>
      </c>
      <c r="M73" s="28">
        <f t="shared" ref="M73:U103" si="53">M$49*3600</f>
        <v>72.424351179672641</v>
      </c>
      <c r="N73" s="28">
        <f t="shared" si="53"/>
        <v>73.619714517154364</v>
      </c>
      <c r="O73" s="28">
        <f t="shared" si="53"/>
        <v>73.858356480677671</v>
      </c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0:26" x14ac:dyDescent="0.25">
      <c r="J74" t="s">
        <v>125</v>
      </c>
      <c r="M74" s="28">
        <f>M73-$O$56</f>
        <v>10.575550598822801</v>
      </c>
      <c r="N74" s="28">
        <f t="shared" ref="N74:O74" si="54">N73-$O$56</f>
        <v>11.770913936304524</v>
      </c>
      <c r="O74" s="28">
        <f t="shared" si="54"/>
        <v>12.009555899827831</v>
      </c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0:26" x14ac:dyDescent="0.25">
      <c r="J75" t="s">
        <v>128</v>
      </c>
      <c r="M75" s="28">
        <f t="shared" ref="M75:O75" si="55">M$48/(M74/3600)</f>
        <v>961.99246601230186</v>
      </c>
      <c r="N75" s="28">
        <f t="shared" si="55"/>
        <v>96.033324694821843</v>
      </c>
      <c r="O75" s="28">
        <f t="shared" si="55"/>
        <v>94.12504587418934</v>
      </c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0:26" x14ac:dyDescent="0.25">
      <c r="J76" t="s">
        <v>130</v>
      </c>
      <c r="M76" s="28">
        <f>K76+M75</f>
        <v>961.99246601230186</v>
      </c>
      <c r="N76" s="28">
        <f t="shared" ref="N76:O76" si="56">M76+N75</f>
        <v>1058.0257907071236</v>
      </c>
      <c r="O76" s="28">
        <f t="shared" si="56"/>
        <v>1152.1508365813129</v>
      </c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8" spans="10:26" x14ac:dyDescent="0.25">
      <c r="J78" t="s">
        <v>129</v>
      </c>
      <c r="M78" s="28">
        <f t="shared" ref="M78" si="57">M$49*3600</f>
        <v>72.424351179672641</v>
      </c>
      <c r="N78" s="28">
        <f t="shared" si="53"/>
        <v>73.619714517154364</v>
      </c>
      <c r="O78" s="28">
        <f t="shared" si="53"/>
        <v>73.858356480677671</v>
      </c>
      <c r="P78" s="28">
        <f t="shared" si="53"/>
        <v>74.096899098878339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0:26" x14ac:dyDescent="0.25">
      <c r="J79" t="s">
        <v>125</v>
      </c>
      <c r="M79" s="28">
        <f>M78-$P$56</f>
        <v>10.575550598822801</v>
      </c>
      <c r="N79" s="28">
        <f t="shared" ref="N79:P79" si="58">N78-$P$56</f>
        <v>11.770913936304524</v>
      </c>
      <c r="O79" s="28">
        <f t="shared" si="58"/>
        <v>12.009555899827831</v>
      </c>
      <c r="P79" s="28">
        <f t="shared" si="58"/>
        <v>12.248098518028499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0:26" x14ac:dyDescent="0.25">
      <c r="J80" t="s">
        <v>128</v>
      </c>
      <c r="M80" s="28">
        <f t="shared" ref="M80:P80" si="59">M$48/(M79/3600)</f>
        <v>961.99246601230186</v>
      </c>
      <c r="N80" s="28">
        <f t="shared" si="59"/>
        <v>96.033324694821843</v>
      </c>
      <c r="O80" s="28">
        <f t="shared" si="59"/>
        <v>94.12504587418934</v>
      </c>
      <c r="P80" s="28">
        <f t="shared" si="59"/>
        <v>92.291876844071083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0:26" x14ac:dyDescent="0.25">
      <c r="J81" t="s">
        <v>130</v>
      </c>
      <c r="M81" s="28">
        <f>K81+M80</f>
        <v>961.99246601230186</v>
      </c>
      <c r="N81" s="28">
        <f t="shared" ref="N81:P81" si="60">M81+N80</f>
        <v>1058.0257907071236</v>
      </c>
      <c r="O81" s="28">
        <f t="shared" si="60"/>
        <v>1152.1508365813129</v>
      </c>
      <c r="P81" s="28">
        <f t="shared" si="60"/>
        <v>1244.442713425384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3" spans="10:26" x14ac:dyDescent="0.25">
      <c r="J83" t="s">
        <v>129</v>
      </c>
      <c r="M83" s="28">
        <f t="shared" ref="M83" si="61">M$49*3600</f>
        <v>72.424351179672641</v>
      </c>
      <c r="N83" s="28">
        <f t="shared" si="53"/>
        <v>73.619714517154364</v>
      </c>
      <c r="O83" s="28">
        <f t="shared" si="53"/>
        <v>73.858356480677671</v>
      </c>
      <c r="P83" s="28">
        <f t="shared" si="53"/>
        <v>74.096899098878339</v>
      </c>
      <c r="Q83" s="28">
        <f t="shared" si="53"/>
        <v>74.335338927115515</v>
      </c>
      <c r="R83" s="28"/>
      <c r="S83" s="28"/>
      <c r="T83" s="28"/>
      <c r="U83" s="28"/>
      <c r="V83" s="28"/>
      <c r="W83" s="28"/>
      <c r="X83" s="28"/>
      <c r="Y83" s="28"/>
      <c r="Z83" s="28"/>
    </row>
    <row r="84" spans="10:26" x14ac:dyDescent="0.25">
      <c r="J84" t="s">
        <v>125</v>
      </c>
      <c r="M84" s="28">
        <f>M83-$Q$56</f>
        <v>10.575550598822801</v>
      </c>
      <c r="N84" s="28">
        <f t="shared" ref="N84:Q84" si="62">N83-$Q$56</f>
        <v>11.770913936304524</v>
      </c>
      <c r="O84" s="28">
        <f t="shared" si="62"/>
        <v>12.009555899827831</v>
      </c>
      <c r="P84" s="28">
        <f t="shared" si="62"/>
        <v>12.248098518028499</v>
      </c>
      <c r="Q84" s="28">
        <f t="shared" si="62"/>
        <v>12.486538346265675</v>
      </c>
      <c r="R84" s="28"/>
      <c r="S84" s="28"/>
      <c r="T84" s="28"/>
      <c r="U84" s="28"/>
      <c r="V84" s="28"/>
      <c r="W84" s="28"/>
      <c r="X84" s="28"/>
      <c r="Y84" s="28"/>
      <c r="Z84" s="28"/>
    </row>
    <row r="85" spans="10:26" x14ac:dyDescent="0.25">
      <c r="J85" t="s">
        <v>128</v>
      </c>
      <c r="M85" s="28">
        <f t="shared" ref="M85:Q85" si="63">M$48/(M84/3600)</f>
        <v>961.99246601230186</v>
      </c>
      <c r="N85" s="28">
        <f t="shared" si="63"/>
        <v>96.033324694821843</v>
      </c>
      <c r="O85" s="28">
        <f t="shared" si="63"/>
        <v>94.12504587418934</v>
      </c>
      <c r="P85" s="28">
        <f t="shared" si="63"/>
        <v>92.291876844071083</v>
      </c>
      <c r="Q85" s="28">
        <f t="shared" si="63"/>
        <v>90.529494136219299</v>
      </c>
      <c r="R85" s="28"/>
      <c r="S85" s="28"/>
      <c r="T85" s="28"/>
      <c r="U85" s="28"/>
      <c r="V85" s="28"/>
      <c r="W85" s="28"/>
      <c r="X85" s="28"/>
      <c r="Y85" s="28"/>
      <c r="Z85" s="28"/>
    </row>
    <row r="86" spans="10:26" x14ac:dyDescent="0.25">
      <c r="J86" t="s">
        <v>130</v>
      </c>
      <c r="M86" s="28">
        <f>K86+M85</f>
        <v>961.99246601230186</v>
      </c>
      <c r="N86" s="28">
        <f t="shared" ref="N86:Q86" si="64">M86+N85</f>
        <v>1058.0257907071236</v>
      </c>
      <c r="O86" s="28">
        <f t="shared" si="64"/>
        <v>1152.1508365813129</v>
      </c>
      <c r="P86" s="28">
        <f t="shared" si="64"/>
        <v>1244.442713425384</v>
      </c>
      <c r="Q86" s="28">
        <f t="shared" si="64"/>
        <v>1334.9722075616032</v>
      </c>
      <c r="R86" s="28"/>
      <c r="S86" s="28"/>
      <c r="T86" s="28"/>
      <c r="U86" s="28"/>
      <c r="V86" s="28"/>
      <c r="W86" s="28"/>
      <c r="X86" s="28"/>
      <c r="Y86" s="28"/>
      <c r="Z86" s="28"/>
    </row>
    <row r="88" spans="10:26" x14ac:dyDescent="0.25">
      <c r="J88" t="s">
        <v>129</v>
      </c>
      <c r="M88" s="28">
        <f t="shared" ref="M88" si="65">M$49*3600</f>
        <v>72.424351179672641</v>
      </c>
      <c r="N88" s="28">
        <f t="shared" si="53"/>
        <v>73.619714517154364</v>
      </c>
      <c r="O88" s="28">
        <f t="shared" si="53"/>
        <v>73.858356480677671</v>
      </c>
      <c r="P88" s="28">
        <f t="shared" si="53"/>
        <v>74.096899098878339</v>
      </c>
      <c r="Q88" s="28">
        <f t="shared" si="53"/>
        <v>74.335338927115515</v>
      </c>
      <c r="R88" s="28">
        <f t="shared" si="53"/>
        <v>74.573672531702556</v>
      </c>
      <c r="S88" s="28"/>
      <c r="T88" s="28"/>
      <c r="U88" s="28"/>
      <c r="V88" s="28"/>
      <c r="W88" s="28"/>
      <c r="X88" s="28"/>
      <c r="Y88" s="28"/>
      <c r="Z88" s="28"/>
    </row>
    <row r="89" spans="10:26" x14ac:dyDescent="0.25">
      <c r="J89" t="s">
        <v>125</v>
      </c>
      <c r="M89" s="28">
        <f>M88-$R$56</f>
        <v>10.575550598822801</v>
      </c>
      <c r="N89" s="28">
        <f t="shared" ref="N89:R89" si="66">N88-$R$56</f>
        <v>11.770913936304524</v>
      </c>
      <c r="O89" s="28">
        <f t="shared" si="66"/>
        <v>12.009555899827831</v>
      </c>
      <c r="P89" s="28">
        <f t="shared" si="66"/>
        <v>12.248098518028499</v>
      </c>
      <c r="Q89" s="28">
        <f t="shared" si="66"/>
        <v>12.486538346265675</v>
      </c>
      <c r="R89" s="28">
        <f t="shared" si="66"/>
        <v>12.724871950852716</v>
      </c>
      <c r="S89" s="28"/>
      <c r="T89" s="28"/>
      <c r="U89" s="28"/>
      <c r="V89" s="28"/>
      <c r="W89" s="28"/>
      <c r="X89" s="28"/>
      <c r="Y89" s="28"/>
      <c r="Z89" s="28"/>
    </row>
    <row r="90" spans="10:26" x14ac:dyDescent="0.25">
      <c r="J90" t="s">
        <v>128</v>
      </c>
      <c r="M90" s="28">
        <f t="shared" ref="M90:R90" si="67">M$48/(M89/3600)</f>
        <v>961.99246601230186</v>
      </c>
      <c r="N90" s="28">
        <f t="shared" si="67"/>
        <v>96.033324694821843</v>
      </c>
      <c r="O90" s="28">
        <f t="shared" si="67"/>
        <v>94.12504587418934</v>
      </c>
      <c r="P90" s="28">
        <f t="shared" si="67"/>
        <v>92.291876844071083</v>
      </c>
      <c r="Q90" s="28">
        <f t="shared" si="67"/>
        <v>90.529494136219299</v>
      </c>
      <c r="R90" s="28">
        <f t="shared" si="67"/>
        <v>88.833899811792278</v>
      </c>
      <c r="S90" s="28"/>
      <c r="T90" s="28"/>
      <c r="U90" s="28"/>
      <c r="V90" s="28"/>
      <c r="W90" s="28"/>
      <c r="X90" s="28"/>
      <c r="Y90" s="28"/>
      <c r="Z90" s="28"/>
    </row>
    <row r="91" spans="10:26" x14ac:dyDescent="0.25">
      <c r="J91" t="s">
        <v>130</v>
      </c>
      <c r="M91" s="28">
        <f>K91+M90</f>
        <v>961.99246601230186</v>
      </c>
      <c r="N91" s="28">
        <f t="shared" ref="N91:R91" si="68">M91+N90</f>
        <v>1058.0257907071236</v>
      </c>
      <c r="O91" s="28">
        <f t="shared" si="68"/>
        <v>1152.1508365813129</v>
      </c>
      <c r="P91" s="28">
        <f t="shared" si="68"/>
        <v>1244.442713425384</v>
      </c>
      <c r="Q91" s="28">
        <f t="shared" si="68"/>
        <v>1334.9722075616032</v>
      </c>
      <c r="R91" s="28">
        <f t="shared" si="68"/>
        <v>1423.8061073733954</v>
      </c>
      <c r="S91" s="28"/>
      <c r="T91" s="28"/>
      <c r="U91" s="28"/>
      <c r="V91" s="28"/>
      <c r="W91" s="28"/>
      <c r="X91" s="28"/>
      <c r="Y91" s="28"/>
      <c r="Z91" s="28"/>
    </row>
    <row r="93" spans="10:26" x14ac:dyDescent="0.25">
      <c r="J93" t="s">
        <v>129</v>
      </c>
      <c r="M93" s="28">
        <f t="shared" ref="M93" si="69">M$49*3600</f>
        <v>72.424351179672641</v>
      </c>
      <c r="N93" s="28">
        <f t="shared" si="53"/>
        <v>73.619714517154364</v>
      </c>
      <c r="O93" s="28">
        <f t="shared" si="53"/>
        <v>73.858356480677671</v>
      </c>
      <c r="P93" s="28">
        <f t="shared" si="53"/>
        <v>74.096899098878339</v>
      </c>
      <c r="Q93" s="28">
        <f t="shared" si="53"/>
        <v>74.335338927115515</v>
      </c>
      <c r="R93" s="28">
        <f t="shared" si="53"/>
        <v>74.573672531702556</v>
      </c>
      <c r="S93" s="28">
        <f t="shared" si="53"/>
        <v>74.811896490355366</v>
      </c>
      <c r="T93" s="28"/>
      <c r="U93" s="28"/>
      <c r="V93" s="28"/>
      <c r="W93" s="28"/>
      <c r="X93" s="28"/>
      <c r="Y93" s="28"/>
      <c r="Z93" s="28"/>
    </row>
    <row r="94" spans="10:26" x14ac:dyDescent="0.25">
      <c r="J94" t="s">
        <v>125</v>
      </c>
      <c r="M94" s="28">
        <f>M93-$S$56</f>
        <v>10.575550598822801</v>
      </c>
      <c r="N94" s="28">
        <f t="shared" ref="N94:S94" si="70">N93-$S$56</f>
        <v>11.770913936304524</v>
      </c>
      <c r="O94" s="28">
        <f t="shared" si="70"/>
        <v>12.009555899827831</v>
      </c>
      <c r="P94" s="28">
        <f t="shared" si="70"/>
        <v>12.248098518028499</v>
      </c>
      <c r="Q94" s="28">
        <f t="shared" si="70"/>
        <v>12.486538346265675</v>
      </c>
      <c r="R94" s="28">
        <f t="shared" si="70"/>
        <v>12.724871950852716</v>
      </c>
      <c r="S94" s="28">
        <f t="shared" si="70"/>
        <v>12.963095909505526</v>
      </c>
      <c r="T94" s="28"/>
      <c r="U94" s="28"/>
      <c r="V94" s="28"/>
      <c r="W94" s="28"/>
      <c r="X94" s="28"/>
      <c r="Y94" s="28"/>
      <c r="Z94" s="28"/>
    </row>
    <row r="95" spans="10:26" x14ac:dyDescent="0.25">
      <c r="J95" t="s">
        <v>128</v>
      </c>
      <c r="M95" s="28">
        <f t="shared" ref="M95:S95" si="71">M$48/(M94/3600)</f>
        <v>961.99246601230186</v>
      </c>
      <c r="N95" s="28">
        <f t="shared" si="71"/>
        <v>96.033324694821843</v>
      </c>
      <c r="O95" s="28">
        <f t="shared" si="71"/>
        <v>94.12504587418934</v>
      </c>
      <c r="P95" s="28">
        <f t="shared" si="71"/>
        <v>92.291876844071083</v>
      </c>
      <c r="Q95" s="28">
        <f t="shared" si="71"/>
        <v>90.529494136219299</v>
      </c>
      <c r="R95" s="28">
        <f t="shared" si="71"/>
        <v>88.833899811792278</v>
      </c>
      <c r="S95" s="28">
        <f t="shared" si="71"/>
        <v>87.201391387611409</v>
      </c>
      <c r="T95" s="28"/>
      <c r="U95" s="28"/>
      <c r="V95" s="28"/>
      <c r="W95" s="28"/>
      <c r="X95" s="28"/>
      <c r="Y95" s="28"/>
      <c r="Z95" s="28"/>
    </row>
    <row r="96" spans="10:26" x14ac:dyDescent="0.25">
      <c r="J96" t="s">
        <v>130</v>
      </c>
      <c r="M96" s="28">
        <f>K96+M95</f>
        <v>961.99246601230186</v>
      </c>
      <c r="N96" s="28">
        <f t="shared" ref="N96:S96" si="72">M96+N95</f>
        <v>1058.0257907071236</v>
      </c>
      <c r="O96" s="28">
        <f t="shared" si="72"/>
        <v>1152.1508365813129</v>
      </c>
      <c r="P96" s="28">
        <f t="shared" si="72"/>
        <v>1244.442713425384</v>
      </c>
      <c r="Q96" s="28">
        <f t="shared" si="72"/>
        <v>1334.9722075616032</v>
      </c>
      <c r="R96" s="28">
        <f t="shared" si="72"/>
        <v>1423.8061073733954</v>
      </c>
      <c r="S96" s="28">
        <f t="shared" si="72"/>
        <v>1511.0074987610069</v>
      </c>
      <c r="T96" s="28"/>
      <c r="U96" s="28"/>
      <c r="V96" s="28"/>
      <c r="W96" s="28"/>
      <c r="X96" s="28"/>
      <c r="Y96" s="28"/>
      <c r="Z96" s="28"/>
    </row>
    <row r="98" spans="10:26" x14ac:dyDescent="0.25">
      <c r="J98" t="s">
        <v>129</v>
      </c>
      <c r="M98" s="28">
        <f t="shared" ref="M98" si="73">M$49*3600</f>
        <v>72.424351179672641</v>
      </c>
      <c r="N98" s="28">
        <f t="shared" si="53"/>
        <v>73.619714517154364</v>
      </c>
      <c r="O98" s="28">
        <f t="shared" si="53"/>
        <v>73.858356480677671</v>
      </c>
      <c r="P98" s="28">
        <f t="shared" si="53"/>
        <v>74.096899098878339</v>
      </c>
      <c r="Q98" s="28">
        <f t="shared" si="53"/>
        <v>74.335338927115515</v>
      </c>
      <c r="R98" s="28">
        <f t="shared" si="53"/>
        <v>74.573672531702556</v>
      </c>
      <c r="S98" s="28">
        <f t="shared" si="53"/>
        <v>74.811896490355366</v>
      </c>
      <c r="T98" s="28">
        <f t="shared" si="53"/>
        <v>75.050007392637824</v>
      </c>
      <c r="U98" s="28"/>
      <c r="V98" s="28"/>
      <c r="W98" s="28"/>
      <c r="X98" s="28"/>
      <c r="Y98" s="28"/>
      <c r="Z98" s="28"/>
    </row>
    <row r="99" spans="10:26" x14ac:dyDescent="0.25">
      <c r="J99" t="s">
        <v>125</v>
      </c>
      <c r="M99" s="28">
        <f>M98-$T$56</f>
        <v>10.575550598822801</v>
      </c>
      <c r="N99" s="28">
        <f t="shared" ref="N99:T99" si="74">N98-$T$56</f>
        <v>11.770913936304524</v>
      </c>
      <c r="O99" s="28">
        <f t="shared" si="74"/>
        <v>12.009555899827831</v>
      </c>
      <c r="P99" s="28">
        <f t="shared" si="74"/>
        <v>12.248098518028499</v>
      </c>
      <c r="Q99" s="28">
        <f t="shared" si="74"/>
        <v>12.486538346265675</v>
      </c>
      <c r="R99" s="28">
        <f t="shared" si="74"/>
        <v>12.724871950852716</v>
      </c>
      <c r="S99" s="28">
        <f t="shared" si="74"/>
        <v>12.963095909505526</v>
      </c>
      <c r="T99" s="28">
        <f t="shared" si="74"/>
        <v>13.201206811787983</v>
      </c>
      <c r="U99" s="28"/>
      <c r="V99" s="28"/>
      <c r="W99" s="28"/>
      <c r="X99" s="28"/>
      <c r="Y99" s="28"/>
      <c r="Z99" s="28"/>
    </row>
    <row r="100" spans="10:26" x14ac:dyDescent="0.25">
      <c r="J100" t="s">
        <v>128</v>
      </c>
      <c r="M100" s="28">
        <f t="shared" ref="M100:T100" si="75">M$48/(M99/3600)</f>
        <v>961.99246601230186</v>
      </c>
      <c r="N100" s="28">
        <f t="shared" si="75"/>
        <v>96.033324694821843</v>
      </c>
      <c r="O100" s="28">
        <f t="shared" si="75"/>
        <v>94.12504587418934</v>
      </c>
      <c r="P100" s="28">
        <f t="shared" si="75"/>
        <v>92.291876844071083</v>
      </c>
      <c r="Q100" s="28">
        <f t="shared" si="75"/>
        <v>90.529494136219299</v>
      </c>
      <c r="R100" s="28">
        <f t="shared" si="75"/>
        <v>88.833899811792278</v>
      </c>
      <c r="S100" s="28">
        <f t="shared" si="75"/>
        <v>87.201391387611409</v>
      </c>
      <c r="T100" s="28">
        <f t="shared" si="75"/>
        <v>85.628535035944438</v>
      </c>
      <c r="U100" s="28"/>
      <c r="V100" s="28"/>
      <c r="W100" s="28"/>
      <c r="X100" s="28"/>
      <c r="Y100" s="28"/>
      <c r="Z100" s="28"/>
    </row>
    <row r="101" spans="10:26" x14ac:dyDescent="0.25">
      <c r="J101" t="s">
        <v>130</v>
      </c>
      <c r="M101" s="28">
        <f>K101+M100</f>
        <v>961.99246601230186</v>
      </c>
      <c r="N101" s="28">
        <f t="shared" ref="N101:T101" si="76">M101+N100</f>
        <v>1058.0257907071236</v>
      </c>
      <c r="O101" s="28">
        <f t="shared" si="76"/>
        <v>1152.1508365813129</v>
      </c>
      <c r="P101" s="28">
        <f t="shared" si="76"/>
        <v>1244.442713425384</v>
      </c>
      <c r="Q101" s="28">
        <f t="shared" si="76"/>
        <v>1334.9722075616032</v>
      </c>
      <c r="R101" s="28">
        <f t="shared" si="76"/>
        <v>1423.8061073733954</v>
      </c>
      <c r="S101" s="28">
        <f t="shared" si="76"/>
        <v>1511.0074987610069</v>
      </c>
      <c r="T101" s="28">
        <f t="shared" si="76"/>
        <v>1596.6360337969513</v>
      </c>
      <c r="U101" s="28"/>
      <c r="V101" s="28"/>
      <c r="W101" s="28"/>
      <c r="X101" s="28"/>
      <c r="Y101" s="28"/>
      <c r="Z101" s="28"/>
    </row>
    <row r="103" spans="10:26" x14ac:dyDescent="0.25">
      <c r="J103" t="s">
        <v>129</v>
      </c>
      <c r="M103" s="28">
        <f t="shared" ref="M103" si="77">M$49*3600</f>
        <v>72.424351179672641</v>
      </c>
      <c r="N103" s="28">
        <f t="shared" si="53"/>
        <v>73.619714517154364</v>
      </c>
      <c r="O103" s="28">
        <f t="shared" si="53"/>
        <v>73.858356480677671</v>
      </c>
      <c r="P103" s="28">
        <f t="shared" si="53"/>
        <v>74.096899098878339</v>
      </c>
      <c r="Q103" s="28">
        <f t="shared" si="53"/>
        <v>74.335338927115515</v>
      </c>
      <c r="R103" s="28">
        <f t="shared" si="53"/>
        <v>74.573672531702556</v>
      </c>
      <c r="S103" s="28">
        <f t="shared" si="53"/>
        <v>74.811896490355366</v>
      </c>
      <c r="T103" s="28">
        <f t="shared" si="53"/>
        <v>75.050007392637824</v>
      </c>
      <c r="U103" s="28">
        <f t="shared" si="53"/>
        <v>75.288001840404448</v>
      </c>
      <c r="V103" s="28"/>
      <c r="W103" s="28"/>
      <c r="X103" s="28"/>
      <c r="Y103" s="28"/>
      <c r="Z103" s="28"/>
    </row>
    <row r="104" spans="10:26" x14ac:dyDescent="0.25">
      <c r="J104" t="s">
        <v>125</v>
      </c>
      <c r="M104" s="28">
        <f>M103-$U$56</f>
        <v>10.575550598822801</v>
      </c>
      <c r="N104" s="28">
        <f t="shared" ref="N104:U104" si="78">N103-$U$56</f>
        <v>11.770913936304524</v>
      </c>
      <c r="O104" s="28">
        <f t="shared" si="78"/>
        <v>12.009555899827831</v>
      </c>
      <c r="P104" s="28">
        <f t="shared" si="78"/>
        <v>12.248098518028499</v>
      </c>
      <c r="Q104" s="28">
        <f t="shared" si="78"/>
        <v>12.486538346265675</v>
      </c>
      <c r="R104" s="28">
        <f t="shared" si="78"/>
        <v>12.724871950852716</v>
      </c>
      <c r="S104" s="28">
        <f t="shared" si="78"/>
        <v>12.963095909505526</v>
      </c>
      <c r="T104" s="28">
        <f t="shared" si="78"/>
        <v>13.201206811787983</v>
      </c>
      <c r="U104" s="28">
        <f t="shared" si="78"/>
        <v>13.439201259554608</v>
      </c>
      <c r="V104" s="28"/>
      <c r="W104" s="28"/>
      <c r="X104" s="28"/>
      <c r="Y104" s="28"/>
      <c r="Z104" s="28"/>
    </row>
    <row r="105" spans="10:26" x14ac:dyDescent="0.25">
      <c r="J105" t="s">
        <v>128</v>
      </c>
      <c r="M105" s="28">
        <f t="shared" ref="M105:U105" si="79">M$48/(M104/3600)</f>
        <v>961.99246601230186</v>
      </c>
      <c r="N105" s="28">
        <f t="shared" si="79"/>
        <v>96.033324694821843</v>
      </c>
      <c r="O105" s="28">
        <f t="shared" si="79"/>
        <v>94.12504587418934</v>
      </c>
      <c r="P105" s="28">
        <f t="shared" si="79"/>
        <v>92.291876844071083</v>
      </c>
      <c r="Q105" s="28">
        <f t="shared" si="79"/>
        <v>90.529494136219299</v>
      </c>
      <c r="R105" s="28">
        <f t="shared" si="79"/>
        <v>88.833899811792278</v>
      </c>
      <c r="S105" s="28">
        <f t="shared" si="79"/>
        <v>87.201391387611409</v>
      </c>
      <c r="T105" s="28">
        <f t="shared" si="79"/>
        <v>85.628535035944438</v>
      </c>
      <c r="U105" s="28">
        <f t="shared" si="79"/>
        <v>84.112141649510406</v>
      </c>
      <c r="V105" s="28"/>
      <c r="W105" s="28"/>
      <c r="X105" s="28"/>
      <c r="Y105" s="28"/>
      <c r="Z105" s="28"/>
    </row>
    <row r="106" spans="10:26" x14ac:dyDescent="0.25">
      <c r="J106" t="s">
        <v>130</v>
      </c>
      <c r="M106" s="28">
        <f>K106+M105</f>
        <v>961.99246601230186</v>
      </c>
      <c r="N106" s="28">
        <f t="shared" ref="N106:U106" si="80">M106+N105</f>
        <v>1058.0257907071236</v>
      </c>
      <c r="O106" s="28">
        <f t="shared" si="80"/>
        <v>1152.1508365813129</v>
      </c>
      <c r="P106" s="28">
        <f t="shared" si="80"/>
        <v>1244.442713425384</v>
      </c>
      <c r="Q106" s="28">
        <f t="shared" si="80"/>
        <v>1334.9722075616032</v>
      </c>
      <c r="R106" s="28">
        <f t="shared" si="80"/>
        <v>1423.8061073733954</v>
      </c>
      <c r="S106" s="28">
        <f t="shared" si="80"/>
        <v>1511.0074987610069</v>
      </c>
      <c r="T106" s="28">
        <f t="shared" si="80"/>
        <v>1596.6360337969513</v>
      </c>
      <c r="U106" s="28">
        <f t="shared" si="80"/>
        <v>1680.7481754464618</v>
      </c>
      <c r="V106" s="28"/>
      <c r="W106" s="28"/>
      <c r="X106" s="28"/>
      <c r="Y106" s="28"/>
      <c r="Z106" s="28"/>
    </row>
    <row r="108" spans="10:26" x14ac:dyDescent="0.25">
      <c r="J108" t="s">
        <v>129</v>
      </c>
      <c r="M108" s="28">
        <f t="shared" ref="M108:Z128" si="81">M$49*3600</f>
        <v>72.424351179672641</v>
      </c>
      <c r="N108" s="28">
        <f t="shared" si="81"/>
        <v>73.619714517154364</v>
      </c>
      <c r="O108" s="28">
        <f t="shared" si="81"/>
        <v>73.858356480677671</v>
      </c>
      <c r="P108" s="28">
        <f t="shared" si="81"/>
        <v>74.096899098878339</v>
      </c>
      <c r="Q108" s="28">
        <f t="shared" si="81"/>
        <v>74.335338927115515</v>
      </c>
      <c r="R108" s="28">
        <f t="shared" si="81"/>
        <v>74.573672531702556</v>
      </c>
      <c r="S108" s="28">
        <f t="shared" si="81"/>
        <v>74.811896490355366</v>
      </c>
      <c r="T108" s="28">
        <f t="shared" si="81"/>
        <v>75.050007392637824</v>
      </c>
      <c r="U108" s="28">
        <f t="shared" si="81"/>
        <v>75.288001840404448</v>
      </c>
      <c r="V108" s="28">
        <f t="shared" si="81"/>
        <v>75.525876448240112</v>
      </c>
      <c r="W108" s="28"/>
      <c r="X108" s="28"/>
      <c r="Y108" s="28"/>
      <c r="Z108" s="28"/>
    </row>
    <row r="109" spans="10:26" x14ac:dyDescent="0.25">
      <c r="J109" t="s">
        <v>125</v>
      </c>
      <c r="M109" s="28">
        <f>M108-$V$56</f>
        <v>10.575550598822801</v>
      </c>
      <c r="N109" s="28">
        <f t="shared" ref="N109:V109" si="82">N108-$V$56</f>
        <v>11.770913936304524</v>
      </c>
      <c r="O109" s="28">
        <f t="shared" si="82"/>
        <v>12.009555899827831</v>
      </c>
      <c r="P109" s="28">
        <f t="shared" si="82"/>
        <v>12.248098518028499</v>
      </c>
      <c r="Q109" s="28">
        <f t="shared" si="82"/>
        <v>12.486538346265675</v>
      </c>
      <c r="R109" s="28">
        <f t="shared" si="82"/>
        <v>12.724871950852716</v>
      </c>
      <c r="S109" s="28">
        <f t="shared" si="82"/>
        <v>12.963095909505526</v>
      </c>
      <c r="T109" s="28">
        <f t="shared" si="82"/>
        <v>13.201206811787983</v>
      </c>
      <c r="U109" s="28">
        <f t="shared" si="82"/>
        <v>13.439201259554608</v>
      </c>
      <c r="V109" s="28">
        <f t="shared" si="82"/>
        <v>13.677075867390272</v>
      </c>
      <c r="W109" s="28"/>
      <c r="X109" s="28"/>
      <c r="Y109" s="28"/>
      <c r="Z109" s="28"/>
    </row>
    <row r="110" spans="10:26" x14ac:dyDescent="0.25">
      <c r="J110" t="s">
        <v>128</v>
      </c>
      <c r="M110" s="28">
        <f t="shared" ref="M110:V110" si="83">M$48/(M109/3600)</f>
        <v>961.99246601230186</v>
      </c>
      <c r="N110" s="28">
        <f t="shared" si="83"/>
        <v>96.033324694821843</v>
      </c>
      <c r="O110" s="28">
        <f t="shared" si="83"/>
        <v>94.12504587418934</v>
      </c>
      <c r="P110" s="28">
        <f t="shared" si="83"/>
        <v>92.291876844071083</v>
      </c>
      <c r="Q110" s="28">
        <f t="shared" si="83"/>
        <v>90.529494136219299</v>
      </c>
      <c r="R110" s="28">
        <f t="shared" si="83"/>
        <v>88.833899811792278</v>
      </c>
      <c r="S110" s="28">
        <f t="shared" si="83"/>
        <v>87.201391387611409</v>
      </c>
      <c r="T110" s="28">
        <f t="shared" si="83"/>
        <v>85.628535035944438</v>
      </c>
      <c r="U110" s="28">
        <f t="shared" si="83"/>
        <v>84.112141649510406</v>
      </c>
      <c r="V110" s="28">
        <f t="shared" si="83"/>
        <v>82.64924542058769</v>
      </c>
      <c r="W110" s="28"/>
      <c r="X110" s="28"/>
      <c r="Y110" s="28"/>
      <c r="Z110" s="28"/>
    </row>
    <row r="111" spans="10:26" x14ac:dyDescent="0.25">
      <c r="J111" t="s">
        <v>130</v>
      </c>
      <c r="M111" s="28">
        <f>K111+M110</f>
        <v>961.99246601230186</v>
      </c>
      <c r="N111" s="28">
        <f t="shared" ref="N111:V111" si="84">M111+N110</f>
        <v>1058.0257907071236</v>
      </c>
      <c r="O111" s="28">
        <f t="shared" si="84"/>
        <v>1152.1508365813129</v>
      </c>
      <c r="P111" s="28">
        <f t="shared" si="84"/>
        <v>1244.442713425384</v>
      </c>
      <c r="Q111" s="28">
        <f t="shared" si="84"/>
        <v>1334.9722075616032</v>
      </c>
      <c r="R111" s="28">
        <f t="shared" si="84"/>
        <v>1423.8061073733954</v>
      </c>
      <c r="S111" s="28">
        <f t="shared" si="84"/>
        <v>1511.0074987610069</v>
      </c>
      <c r="T111" s="28">
        <f t="shared" si="84"/>
        <v>1596.6360337969513</v>
      </c>
      <c r="U111" s="28">
        <f t="shared" si="84"/>
        <v>1680.7481754464618</v>
      </c>
      <c r="V111" s="28">
        <f t="shared" si="84"/>
        <v>1763.3974208670495</v>
      </c>
      <c r="W111" s="28"/>
      <c r="X111" s="28"/>
      <c r="Y111" s="28"/>
      <c r="Z111" s="28"/>
    </row>
    <row r="113" spans="10:26" x14ac:dyDescent="0.25">
      <c r="J113" t="s">
        <v>129</v>
      </c>
      <c r="M113" s="28">
        <f t="shared" ref="M113" si="85">M$49*3600</f>
        <v>72.424351179672641</v>
      </c>
      <c r="N113" s="28">
        <f t="shared" si="81"/>
        <v>73.619714517154364</v>
      </c>
      <c r="O113" s="28">
        <f t="shared" si="81"/>
        <v>73.858356480677671</v>
      </c>
      <c r="P113" s="28">
        <f t="shared" si="81"/>
        <v>74.096899098878339</v>
      </c>
      <c r="Q113" s="28">
        <f t="shared" si="81"/>
        <v>74.335338927115515</v>
      </c>
      <c r="R113" s="28">
        <f t="shared" si="81"/>
        <v>74.573672531702556</v>
      </c>
      <c r="S113" s="28">
        <f t="shared" si="81"/>
        <v>74.811896490355366</v>
      </c>
      <c r="T113" s="28">
        <f t="shared" si="81"/>
        <v>75.050007392637824</v>
      </c>
      <c r="U113" s="28">
        <f t="shared" si="81"/>
        <v>75.288001840404448</v>
      </c>
      <c r="V113" s="28">
        <f t="shared" si="81"/>
        <v>75.525876448240112</v>
      </c>
      <c r="W113" s="28">
        <f t="shared" si="81"/>
        <v>75.763627843896302</v>
      </c>
      <c r="X113" s="28"/>
      <c r="Y113" s="28"/>
      <c r="Z113" s="28"/>
    </row>
    <row r="114" spans="10:26" x14ac:dyDescent="0.25">
      <c r="J114" t="s">
        <v>125</v>
      </c>
      <c r="M114" s="28">
        <f>M113-$W$56</f>
        <v>10.575550598822801</v>
      </c>
      <c r="N114" s="28">
        <f t="shared" ref="N114:W114" si="86">N113-$W$56</f>
        <v>11.770913936304524</v>
      </c>
      <c r="O114" s="28">
        <f t="shared" si="86"/>
        <v>12.009555899827831</v>
      </c>
      <c r="P114" s="28">
        <f t="shared" si="86"/>
        <v>12.248098518028499</v>
      </c>
      <c r="Q114" s="28">
        <f t="shared" si="86"/>
        <v>12.486538346265675</v>
      </c>
      <c r="R114" s="28">
        <f t="shared" si="86"/>
        <v>12.724871950852716</v>
      </c>
      <c r="S114" s="28">
        <f t="shared" si="86"/>
        <v>12.963095909505526</v>
      </c>
      <c r="T114" s="28">
        <f t="shared" si="86"/>
        <v>13.201206811787983</v>
      </c>
      <c r="U114" s="28">
        <f t="shared" si="86"/>
        <v>13.439201259554608</v>
      </c>
      <c r="V114" s="28">
        <f t="shared" si="86"/>
        <v>13.677075867390272</v>
      </c>
      <c r="W114" s="28">
        <f t="shared" si="86"/>
        <v>13.914827263046462</v>
      </c>
      <c r="X114" s="28"/>
      <c r="Y114" s="28"/>
      <c r="Z114" s="28"/>
    </row>
    <row r="115" spans="10:26" x14ac:dyDescent="0.25">
      <c r="J115" t="s">
        <v>128</v>
      </c>
      <c r="M115" s="28">
        <f t="shared" ref="M115:W115" si="87">M$48/(M114/3600)</f>
        <v>961.99246601230186</v>
      </c>
      <c r="N115" s="28">
        <f t="shared" si="87"/>
        <v>96.033324694821843</v>
      </c>
      <c r="O115" s="28">
        <f t="shared" si="87"/>
        <v>94.12504587418934</v>
      </c>
      <c r="P115" s="28">
        <f t="shared" si="87"/>
        <v>92.291876844071083</v>
      </c>
      <c r="Q115" s="28">
        <f t="shared" si="87"/>
        <v>90.529494136219299</v>
      </c>
      <c r="R115" s="28">
        <f t="shared" si="87"/>
        <v>88.833899811792278</v>
      </c>
      <c r="S115" s="28">
        <f t="shared" si="87"/>
        <v>87.201391387611409</v>
      </c>
      <c r="T115" s="28">
        <f t="shared" si="87"/>
        <v>85.628535035944438</v>
      </c>
      <c r="U115" s="28">
        <f t="shared" si="87"/>
        <v>84.112141649510406</v>
      </c>
      <c r="V115" s="28">
        <f t="shared" si="87"/>
        <v>82.64924542058769</v>
      </c>
      <c r="W115" s="28">
        <f t="shared" si="87"/>
        <v>81.237084631437256</v>
      </c>
      <c r="X115" s="28"/>
      <c r="Y115" s="28"/>
      <c r="Z115" s="28"/>
    </row>
    <row r="116" spans="10:26" x14ac:dyDescent="0.25">
      <c r="J116" t="s">
        <v>130</v>
      </c>
      <c r="M116" s="28">
        <f>K116+M115</f>
        <v>961.99246601230186</v>
      </c>
      <c r="N116" s="28">
        <f t="shared" ref="N116:W116" si="88">M116+N115</f>
        <v>1058.0257907071236</v>
      </c>
      <c r="O116" s="28">
        <f t="shared" si="88"/>
        <v>1152.1508365813129</v>
      </c>
      <c r="P116" s="28">
        <f t="shared" si="88"/>
        <v>1244.442713425384</v>
      </c>
      <c r="Q116" s="28">
        <f t="shared" si="88"/>
        <v>1334.9722075616032</v>
      </c>
      <c r="R116" s="28">
        <f t="shared" si="88"/>
        <v>1423.8061073733954</v>
      </c>
      <c r="S116" s="28">
        <f t="shared" si="88"/>
        <v>1511.0074987610069</v>
      </c>
      <c r="T116" s="28">
        <f t="shared" si="88"/>
        <v>1596.6360337969513</v>
      </c>
      <c r="U116" s="28">
        <f t="shared" si="88"/>
        <v>1680.7481754464618</v>
      </c>
      <c r="V116" s="28">
        <f t="shared" si="88"/>
        <v>1763.3974208670495</v>
      </c>
      <c r="W116" s="28">
        <f t="shared" si="88"/>
        <v>1844.6345054984868</v>
      </c>
      <c r="X116" s="28"/>
      <c r="Y116" s="28"/>
      <c r="Z116" s="28"/>
    </row>
    <row r="118" spans="10:26" x14ac:dyDescent="0.25">
      <c r="J118" t="s">
        <v>129</v>
      </c>
      <c r="M118" s="28">
        <f t="shared" ref="M118" si="89">M$49*3600</f>
        <v>72.424351179672641</v>
      </c>
      <c r="N118" s="28">
        <f t="shared" si="81"/>
        <v>73.619714517154364</v>
      </c>
      <c r="O118" s="28">
        <f t="shared" si="81"/>
        <v>73.858356480677671</v>
      </c>
      <c r="P118" s="28">
        <f t="shared" si="81"/>
        <v>74.096899098878339</v>
      </c>
      <c r="Q118" s="28">
        <f t="shared" si="81"/>
        <v>74.335338927115515</v>
      </c>
      <c r="R118" s="28">
        <f t="shared" si="81"/>
        <v>74.573672531702556</v>
      </c>
      <c r="S118" s="28">
        <f t="shared" si="81"/>
        <v>74.811896490355366</v>
      </c>
      <c r="T118" s="28">
        <f t="shared" si="81"/>
        <v>75.050007392637824</v>
      </c>
      <c r="U118" s="28">
        <f t="shared" si="81"/>
        <v>75.288001840404448</v>
      </c>
      <c r="V118" s="28">
        <f t="shared" si="81"/>
        <v>75.525876448240112</v>
      </c>
      <c r="W118" s="28">
        <f t="shared" si="81"/>
        <v>75.763627843896302</v>
      </c>
      <c r="X118" s="28">
        <f t="shared" si="81"/>
        <v>76.001252668724618</v>
      </c>
      <c r="Y118" s="28"/>
      <c r="Z118" s="28"/>
    </row>
    <row r="119" spans="10:26" x14ac:dyDescent="0.25">
      <c r="J119" t="s">
        <v>125</v>
      </c>
      <c r="M119" s="28">
        <f>M118-$X$56</f>
        <v>10.575550598822801</v>
      </c>
      <c r="N119" s="28">
        <f t="shared" ref="N119:X119" si="90">N118-$X$56</f>
        <v>11.770913936304524</v>
      </c>
      <c r="O119" s="28">
        <f t="shared" si="90"/>
        <v>12.009555899827831</v>
      </c>
      <c r="P119" s="28">
        <f t="shared" si="90"/>
        <v>12.248098518028499</v>
      </c>
      <c r="Q119" s="28">
        <f t="shared" si="90"/>
        <v>12.486538346265675</v>
      </c>
      <c r="R119" s="28">
        <f t="shared" si="90"/>
        <v>12.724871950852716</v>
      </c>
      <c r="S119" s="28">
        <f t="shared" si="90"/>
        <v>12.963095909505526</v>
      </c>
      <c r="T119" s="28">
        <f t="shared" si="90"/>
        <v>13.201206811787983</v>
      </c>
      <c r="U119" s="28">
        <f t="shared" si="90"/>
        <v>13.439201259554608</v>
      </c>
      <c r="V119" s="28">
        <f t="shared" si="90"/>
        <v>13.677075867390272</v>
      </c>
      <c r="W119" s="28">
        <f t="shared" si="90"/>
        <v>13.914827263046462</v>
      </c>
      <c r="X119" s="28">
        <f t="shared" si="90"/>
        <v>14.152452087874778</v>
      </c>
      <c r="Y119" s="28"/>
      <c r="Z119" s="28"/>
    </row>
    <row r="120" spans="10:26" x14ac:dyDescent="0.25">
      <c r="J120" t="s">
        <v>128</v>
      </c>
      <c r="M120" s="28">
        <f t="shared" ref="M120:X120" si="91">M$48/(M119/3600)</f>
        <v>961.99246601230186</v>
      </c>
      <c r="N120" s="28">
        <f t="shared" si="91"/>
        <v>96.033324694821843</v>
      </c>
      <c r="O120" s="28">
        <f t="shared" si="91"/>
        <v>94.12504587418934</v>
      </c>
      <c r="P120" s="28">
        <f t="shared" si="91"/>
        <v>92.291876844071083</v>
      </c>
      <c r="Q120" s="28">
        <f t="shared" si="91"/>
        <v>90.529494136219299</v>
      </c>
      <c r="R120" s="28">
        <f t="shared" si="91"/>
        <v>88.833899811792278</v>
      </c>
      <c r="S120" s="28">
        <f t="shared" si="91"/>
        <v>87.201391387611409</v>
      </c>
      <c r="T120" s="28">
        <f t="shared" si="91"/>
        <v>85.628535035944438</v>
      </c>
      <c r="U120" s="28">
        <f t="shared" si="91"/>
        <v>84.112141649510406</v>
      </c>
      <c r="V120" s="28">
        <f t="shared" si="91"/>
        <v>82.64924542058769</v>
      </c>
      <c r="W120" s="28">
        <f t="shared" si="91"/>
        <v>81.237084631437256</v>
      </c>
      <c r="X120" s="28">
        <f t="shared" si="91"/>
        <v>79.873084394217074</v>
      </c>
      <c r="Y120" s="28"/>
      <c r="Z120" s="28"/>
    </row>
    <row r="121" spans="10:26" x14ac:dyDescent="0.25">
      <c r="J121" t="s">
        <v>130</v>
      </c>
      <c r="M121" s="28">
        <f>K121+M120</f>
        <v>961.99246601230186</v>
      </c>
      <c r="N121" s="28">
        <f t="shared" ref="N121:X121" si="92">M121+N120</f>
        <v>1058.0257907071236</v>
      </c>
      <c r="O121" s="28">
        <f t="shared" si="92"/>
        <v>1152.1508365813129</v>
      </c>
      <c r="P121" s="28">
        <f t="shared" si="92"/>
        <v>1244.442713425384</v>
      </c>
      <c r="Q121" s="28">
        <f t="shared" si="92"/>
        <v>1334.9722075616032</v>
      </c>
      <c r="R121" s="28">
        <f t="shared" si="92"/>
        <v>1423.8061073733954</v>
      </c>
      <c r="S121" s="28">
        <f t="shared" si="92"/>
        <v>1511.0074987610069</v>
      </c>
      <c r="T121" s="28">
        <f t="shared" si="92"/>
        <v>1596.6360337969513</v>
      </c>
      <c r="U121" s="28">
        <f t="shared" si="92"/>
        <v>1680.7481754464618</v>
      </c>
      <c r="V121" s="28">
        <f t="shared" si="92"/>
        <v>1763.3974208670495</v>
      </c>
      <c r="W121" s="28">
        <f t="shared" si="92"/>
        <v>1844.6345054984868</v>
      </c>
      <c r="X121" s="28">
        <f t="shared" si="92"/>
        <v>1924.5075898927039</v>
      </c>
      <c r="Y121" s="28"/>
      <c r="Z121" s="28"/>
    </row>
    <row r="123" spans="10:26" x14ac:dyDescent="0.25">
      <c r="J123" t="s">
        <v>129</v>
      </c>
      <c r="M123" s="28">
        <f t="shared" ref="M123" si="93">M$49*3600</f>
        <v>72.424351179672641</v>
      </c>
      <c r="N123" s="28">
        <f t="shared" si="81"/>
        <v>73.619714517154364</v>
      </c>
      <c r="O123" s="28">
        <f t="shared" si="81"/>
        <v>73.858356480677671</v>
      </c>
      <c r="P123" s="28">
        <f t="shared" si="81"/>
        <v>74.096899098878339</v>
      </c>
      <c r="Q123" s="28">
        <f t="shared" si="81"/>
        <v>74.335338927115515</v>
      </c>
      <c r="R123" s="28">
        <f t="shared" si="81"/>
        <v>74.573672531702556</v>
      </c>
      <c r="S123" s="28">
        <f t="shared" si="81"/>
        <v>74.811896490355366</v>
      </c>
      <c r="T123" s="28">
        <f t="shared" si="81"/>
        <v>75.050007392637824</v>
      </c>
      <c r="U123" s="28">
        <f t="shared" si="81"/>
        <v>75.288001840404448</v>
      </c>
      <c r="V123" s="28">
        <f t="shared" si="81"/>
        <v>75.525876448240112</v>
      </c>
      <c r="W123" s="28">
        <f t="shared" si="81"/>
        <v>75.763627843896302</v>
      </c>
      <c r="X123" s="28">
        <f t="shared" si="81"/>
        <v>76.001252668724618</v>
      </c>
      <c r="Y123" s="28">
        <f t="shared" si="81"/>
        <v>76.238747578106299</v>
      </c>
      <c r="Z123" s="28"/>
    </row>
    <row r="124" spans="10:26" x14ac:dyDescent="0.25">
      <c r="J124" t="s">
        <v>125</v>
      </c>
      <c r="M124" s="28">
        <f>M123-$Y$56</f>
        <v>10.575550598822801</v>
      </c>
      <c r="N124" s="28">
        <f t="shared" ref="N124:Y124" si="94">N123-$Y$56</f>
        <v>11.770913936304524</v>
      </c>
      <c r="O124" s="28">
        <f t="shared" si="94"/>
        <v>12.009555899827831</v>
      </c>
      <c r="P124" s="28">
        <f t="shared" si="94"/>
        <v>12.248098518028499</v>
      </c>
      <c r="Q124" s="28">
        <f t="shared" si="94"/>
        <v>12.486538346265675</v>
      </c>
      <c r="R124" s="28">
        <f t="shared" si="94"/>
        <v>12.724871950852716</v>
      </c>
      <c r="S124" s="28">
        <f t="shared" si="94"/>
        <v>12.963095909505526</v>
      </c>
      <c r="T124" s="28">
        <f t="shared" si="94"/>
        <v>13.201206811787983</v>
      </c>
      <c r="U124" s="28">
        <f t="shared" si="94"/>
        <v>13.439201259554608</v>
      </c>
      <c r="V124" s="28">
        <f t="shared" si="94"/>
        <v>13.677075867390272</v>
      </c>
      <c r="W124" s="28">
        <f t="shared" si="94"/>
        <v>13.914827263046462</v>
      </c>
      <c r="X124" s="28">
        <f t="shared" si="94"/>
        <v>14.152452087874778</v>
      </c>
      <c r="Y124" s="28">
        <f t="shared" si="94"/>
        <v>14.389946997256459</v>
      </c>
      <c r="Z124" s="28"/>
    </row>
    <row r="125" spans="10:26" x14ac:dyDescent="0.25">
      <c r="J125" t="s">
        <v>128</v>
      </c>
      <c r="M125" s="28">
        <f t="shared" ref="M125:Y125" si="95">M$48/(M124/3600)</f>
        <v>961.99246601230186</v>
      </c>
      <c r="N125" s="28">
        <f t="shared" si="95"/>
        <v>96.033324694821843</v>
      </c>
      <c r="O125" s="28">
        <f t="shared" si="95"/>
        <v>94.12504587418934</v>
      </c>
      <c r="P125" s="28">
        <f t="shared" si="95"/>
        <v>92.291876844071083</v>
      </c>
      <c r="Q125" s="28">
        <f t="shared" si="95"/>
        <v>90.529494136219299</v>
      </c>
      <c r="R125" s="28">
        <f t="shared" si="95"/>
        <v>88.833899811792278</v>
      </c>
      <c r="S125" s="28">
        <f t="shared" si="95"/>
        <v>87.201391387611409</v>
      </c>
      <c r="T125" s="28">
        <f t="shared" si="95"/>
        <v>85.628535035944438</v>
      </c>
      <c r="U125" s="28">
        <f t="shared" si="95"/>
        <v>84.112141649510406</v>
      </c>
      <c r="V125" s="28">
        <f t="shared" si="95"/>
        <v>82.64924542058769</v>
      </c>
      <c r="W125" s="28">
        <f t="shared" si="95"/>
        <v>81.237084631437256</v>
      </c>
      <c r="X125" s="28">
        <f t="shared" si="95"/>
        <v>79.873084394217074</v>
      </c>
      <c r="Y125" s="28">
        <f t="shared" si="95"/>
        <v>78.554841113414398</v>
      </c>
      <c r="Z125" s="28"/>
    </row>
    <row r="126" spans="10:26" x14ac:dyDescent="0.25">
      <c r="J126" t="s">
        <v>130</v>
      </c>
      <c r="M126" s="28">
        <f>K126+M125</f>
        <v>961.99246601230186</v>
      </c>
      <c r="N126" s="28">
        <f t="shared" ref="N126:Y126" si="96">M126+N125</f>
        <v>1058.0257907071236</v>
      </c>
      <c r="O126" s="28">
        <f t="shared" si="96"/>
        <v>1152.1508365813129</v>
      </c>
      <c r="P126" s="28">
        <f t="shared" si="96"/>
        <v>1244.442713425384</v>
      </c>
      <c r="Q126" s="28">
        <f t="shared" si="96"/>
        <v>1334.9722075616032</v>
      </c>
      <c r="R126" s="28">
        <f t="shared" si="96"/>
        <v>1423.8061073733954</v>
      </c>
      <c r="S126" s="28">
        <f t="shared" si="96"/>
        <v>1511.0074987610069</v>
      </c>
      <c r="T126" s="28">
        <f t="shared" si="96"/>
        <v>1596.6360337969513</v>
      </c>
      <c r="U126" s="28">
        <f t="shared" si="96"/>
        <v>1680.7481754464618</v>
      </c>
      <c r="V126" s="28">
        <f t="shared" si="96"/>
        <v>1763.3974208670495</v>
      </c>
      <c r="W126" s="28">
        <f t="shared" si="96"/>
        <v>1844.6345054984868</v>
      </c>
      <c r="X126" s="28">
        <f t="shared" si="96"/>
        <v>1924.5075898927039</v>
      </c>
      <c r="Y126" s="28">
        <f t="shared" si="96"/>
        <v>2003.0624310061182</v>
      </c>
      <c r="Z126" s="28"/>
    </row>
    <row r="128" spans="10:26" x14ac:dyDescent="0.25">
      <c r="J128" t="s">
        <v>129</v>
      </c>
      <c r="M128" s="28">
        <f t="shared" ref="M128" si="97">M$49*3600</f>
        <v>72.424351179672641</v>
      </c>
      <c r="N128" s="28">
        <f t="shared" si="81"/>
        <v>73.619714517154364</v>
      </c>
      <c r="O128" s="28">
        <f t="shared" si="81"/>
        <v>73.858356480677671</v>
      </c>
      <c r="P128" s="28">
        <f t="shared" si="81"/>
        <v>74.096899098878339</v>
      </c>
      <c r="Q128" s="28">
        <f t="shared" si="81"/>
        <v>74.335338927115515</v>
      </c>
      <c r="R128" s="28">
        <f t="shared" si="81"/>
        <v>74.573672531702556</v>
      </c>
      <c r="S128" s="28">
        <f t="shared" si="81"/>
        <v>74.811896490355366</v>
      </c>
      <c r="T128" s="28">
        <f t="shared" si="81"/>
        <v>75.050007392637824</v>
      </c>
      <c r="U128" s="28">
        <f t="shared" si="81"/>
        <v>75.288001840404448</v>
      </c>
      <c r="V128" s="28">
        <f t="shared" si="81"/>
        <v>75.525876448240112</v>
      </c>
      <c r="W128" s="28">
        <f t="shared" si="81"/>
        <v>75.763627843896302</v>
      </c>
      <c r="X128" s="28">
        <f t="shared" si="81"/>
        <v>76.001252668724618</v>
      </c>
      <c r="Y128" s="28">
        <f t="shared" si="81"/>
        <v>76.238747578106299</v>
      </c>
      <c r="Z128" s="28">
        <f t="shared" si="81"/>
        <v>76.476109241878675</v>
      </c>
    </row>
    <row r="129" spans="10:26" x14ac:dyDescent="0.25">
      <c r="J129" t="s">
        <v>125</v>
      </c>
      <c r="M129" s="28">
        <f>M128-$Z$56</f>
        <v>10.575550598822801</v>
      </c>
      <c r="N129" s="28">
        <f t="shared" ref="N129:Z129" si="98">N128-$Z$56</f>
        <v>11.770913936304524</v>
      </c>
      <c r="O129" s="28">
        <f t="shared" si="98"/>
        <v>12.009555899827831</v>
      </c>
      <c r="P129" s="28">
        <f t="shared" si="98"/>
        <v>12.248098518028499</v>
      </c>
      <c r="Q129" s="28">
        <f t="shared" si="98"/>
        <v>12.486538346265675</v>
      </c>
      <c r="R129" s="28">
        <f t="shared" si="98"/>
        <v>12.724871950852716</v>
      </c>
      <c r="S129" s="28">
        <f t="shared" si="98"/>
        <v>12.963095909505526</v>
      </c>
      <c r="T129" s="28">
        <f t="shared" si="98"/>
        <v>13.201206811787983</v>
      </c>
      <c r="U129" s="28">
        <f t="shared" si="98"/>
        <v>13.439201259554608</v>
      </c>
      <c r="V129" s="28">
        <f t="shared" si="98"/>
        <v>13.677075867390272</v>
      </c>
      <c r="W129" s="28">
        <f t="shared" si="98"/>
        <v>13.914827263046462</v>
      </c>
      <c r="X129" s="28">
        <f t="shared" si="98"/>
        <v>14.152452087874778</v>
      </c>
      <c r="Y129" s="28">
        <f t="shared" si="98"/>
        <v>14.389946997256459</v>
      </c>
      <c r="Z129" s="28">
        <f t="shared" si="98"/>
        <v>14.627308661028835</v>
      </c>
    </row>
    <row r="130" spans="10:26" x14ac:dyDescent="0.25">
      <c r="J130" t="s">
        <v>128</v>
      </c>
      <c r="M130" s="28">
        <f t="shared" ref="M130:Z130" si="99">M$48/(M129/3600)</f>
        <v>961.99246601230186</v>
      </c>
      <c r="N130" s="28">
        <f t="shared" si="99"/>
        <v>96.033324694821843</v>
      </c>
      <c r="O130" s="28">
        <f t="shared" si="99"/>
        <v>94.12504587418934</v>
      </c>
      <c r="P130" s="28">
        <f t="shared" si="99"/>
        <v>92.291876844071083</v>
      </c>
      <c r="Q130" s="28">
        <f t="shared" si="99"/>
        <v>90.529494136219299</v>
      </c>
      <c r="R130" s="28">
        <f t="shared" si="99"/>
        <v>88.833899811792278</v>
      </c>
      <c r="S130" s="28">
        <f t="shared" si="99"/>
        <v>87.201391387611409</v>
      </c>
      <c r="T130" s="28">
        <f t="shared" si="99"/>
        <v>85.628535035944438</v>
      </c>
      <c r="U130" s="28">
        <f t="shared" si="99"/>
        <v>84.112141649510406</v>
      </c>
      <c r="V130" s="28">
        <f t="shared" si="99"/>
        <v>82.64924542058769</v>
      </c>
      <c r="W130" s="28">
        <f t="shared" si="99"/>
        <v>81.237084631437256</v>
      </c>
      <c r="X130" s="28">
        <f t="shared" si="99"/>
        <v>79.873084394217074</v>
      </c>
      <c r="Y130" s="28">
        <f t="shared" si="99"/>
        <v>78.554841113414398</v>
      </c>
      <c r="Z130" s="28">
        <f t="shared" si="99"/>
        <v>77.280108473517885</v>
      </c>
    </row>
    <row r="131" spans="10:26" x14ac:dyDescent="0.25">
      <c r="J131" t="s">
        <v>130</v>
      </c>
      <c r="M131" s="28">
        <f>K131+M130</f>
        <v>961.99246601230186</v>
      </c>
      <c r="N131" s="28">
        <f t="shared" ref="N131:Z131" si="100">M131+N130</f>
        <v>1058.0257907071236</v>
      </c>
      <c r="O131" s="28">
        <f t="shared" si="100"/>
        <v>1152.1508365813129</v>
      </c>
      <c r="P131" s="28">
        <f t="shared" si="100"/>
        <v>1244.442713425384</v>
      </c>
      <c r="Q131" s="28">
        <f t="shared" si="100"/>
        <v>1334.9722075616032</v>
      </c>
      <c r="R131" s="28">
        <f t="shared" si="100"/>
        <v>1423.8061073733954</v>
      </c>
      <c r="S131" s="28">
        <f t="shared" si="100"/>
        <v>1511.0074987610069</v>
      </c>
      <c r="T131" s="28">
        <f t="shared" si="100"/>
        <v>1596.6360337969513</v>
      </c>
      <c r="U131" s="28">
        <f t="shared" si="100"/>
        <v>1680.7481754464618</v>
      </c>
      <c r="V131" s="28">
        <f t="shared" si="100"/>
        <v>1763.3974208670495</v>
      </c>
      <c r="W131" s="28">
        <f t="shared" si="100"/>
        <v>1844.6345054984868</v>
      </c>
      <c r="X131" s="28">
        <f t="shared" si="100"/>
        <v>1924.5075898927039</v>
      </c>
      <c r="Y131" s="28">
        <f t="shared" si="100"/>
        <v>2003.0624310061182</v>
      </c>
      <c r="Z131" s="28">
        <f t="shared" si="100"/>
        <v>2080.3425394796359</v>
      </c>
    </row>
    <row r="133" spans="10:26" x14ac:dyDescent="0.25"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0:26" x14ac:dyDescent="0.25"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0:26" x14ac:dyDescent="0.25"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0:26" x14ac:dyDescent="0.25"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8" spans="10:26" x14ac:dyDescent="0.25"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0:26" x14ac:dyDescent="0.25"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0:26" x14ac:dyDescent="0.25"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0:26" x14ac:dyDescent="0.25"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</sheetData>
  <mergeCells count="8">
    <mergeCell ref="K12:T12"/>
    <mergeCell ref="I33:I34"/>
    <mergeCell ref="C2:D2"/>
    <mergeCell ref="C3:D3"/>
    <mergeCell ref="C4:D4"/>
    <mergeCell ref="C5:D5"/>
    <mergeCell ref="C6:D6"/>
    <mergeCell ref="K13:V13"/>
  </mergeCells>
  <conditionalFormatting sqref="M61:Z61">
    <cfRule type="cellIs" dxfId="8" priority="3" operator="greaterThan">
      <formula>#REF!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7DC4097D-3666-4199-ADC2-ECB4A262E035}">
            <xm:f>'1 pompa'!$G$15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M61:Z61</xm:sqref>
        </x14:conditionalFormatting>
        <x14:conditionalFormatting xmlns:xm="http://schemas.microsoft.com/office/excel/2006/main">
          <x14:cfRule type="cellIs" priority="1" operator="lessThan" id="{4F820FCF-C632-435D-AAAA-1F97D10B3190}">
            <xm:f>'1 pompa'!$E$25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5A144-6E8A-4C19-89E5-DBD56C74B6E2}">
  <sheetPr codeName="Arkusz4"/>
  <dimension ref="B1:AJ141"/>
  <sheetViews>
    <sheetView tabSelected="1" topLeftCell="A34" workbookViewId="0">
      <selection activeCell="E50" sqref="E50:E51"/>
    </sheetView>
  </sheetViews>
  <sheetFormatPr defaultRowHeight="15" x14ac:dyDescent="0.25"/>
  <cols>
    <col min="1" max="1" width="4.7109375" customWidth="1"/>
    <col min="2" max="2" width="46.140625" customWidth="1"/>
    <col min="3" max="3" width="9.42578125" style="2" customWidth="1"/>
    <col min="4" max="4" width="1.7109375" customWidth="1"/>
    <col min="5" max="5" width="13.85546875" style="7" customWidth="1"/>
    <col min="7" max="7" width="9.5703125" bestFit="1" customWidth="1"/>
    <col min="9" max="9" width="38.28515625" customWidth="1"/>
    <col min="10" max="10" width="41.28515625" customWidth="1"/>
    <col min="11" max="26" width="10.140625" customWidth="1"/>
  </cols>
  <sheetData>
    <row r="1" spans="2:36" ht="33.75" x14ac:dyDescent="0.5">
      <c r="B1" s="1" t="s">
        <v>11</v>
      </c>
    </row>
    <row r="2" spans="2:36" x14ac:dyDescent="0.25">
      <c r="B2" t="s">
        <v>42</v>
      </c>
      <c r="C2" s="61" t="s">
        <v>37</v>
      </c>
      <c r="D2" s="61"/>
      <c r="E2" s="6"/>
    </row>
    <row r="3" spans="2:36" x14ac:dyDescent="0.25">
      <c r="B3" t="s">
        <v>41</v>
      </c>
      <c r="C3" s="61" t="s">
        <v>38</v>
      </c>
      <c r="D3" s="61"/>
      <c r="E3" s="8"/>
    </row>
    <row r="4" spans="2:36" x14ac:dyDescent="0.25">
      <c r="B4" t="s">
        <v>43</v>
      </c>
      <c r="C4" s="61"/>
      <c r="D4" s="61"/>
      <c r="E4" s="9"/>
    </row>
    <row r="5" spans="2:36" x14ac:dyDescent="0.25">
      <c r="B5" t="s">
        <v>44</v>
      </c>
      <c r="C5" s="61" t="s">
        <v>37</v>
      </c>
      <c r="D5" s="61"/>
      <c r="E5" s="18"/>
    </row>
    <row r="6" spans="2:36" x14ac:dyDescent="0.25">
      <c r="B6" t="s">
        <v>122</v>
      </c>
      <c r="C6" s="61" t="s">
        <v>123</v>
      </c>
      <c r="D6" s="61"/>
      <c r="E6" s="34"/>
    </row>
    <row r="7" spans="2:36" x14ac:dyDescent="0.25">
      <c r="C7" s="58"/>
      <c r="D7" s="58"/>
      <c r="E7" s="35"/>
    </row>
    <row r="11" spans="2:36" ht="33.75" x14ac:dyDescent="0.5">
      <c r="B11" s="1" t="s">
        <v>70</v>
      </c>
      <c r="C11"/>
      <c r="J11" s="1" t="s">
        <v>106</v>
      </c>
    </row>
    <row r="12" spans="2:36" x14ac:dyDescent="0.25">
      <c r="C12" t="s">
        <v>156</v>
      </c>
      <c r="D12" t="s">
        <v>23</v>
      </c>
      <c r="E12" s="17">
        <v>3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W12" t="s">
        <v>158</v>
      </c>
      <c r="Z12" s="56">
        <v>1</v>
      </c>
    </row>
    <row r="13" spans="2:36" x14ac:dyDescent="0.25">
      <c r="C13"/>
      <c r="K13" s="62" t="s">
        <v>62</v>
      </c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X13" s="57" t="s">
        <v>63</v>
      </c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</row>
    <row r="14" spans="2:36" x14ac:dyDescent="0.25">
      <c r="C14"/>
      <c r="E14" s="7" t="s">
        <v>134</v>
      </c>
      <c r="F14" t="s">
        <v>135</v>
      </c>
      <c r="G14" t="s">
        <v>136</v>
      </c>
      <c r="H14" t="s">
        <v>69</v>
      </c>
      <c r="K14" t="s">
        <v>157</v>
      </c>
      <c r="L14" t="s">
        <v>108</v>
      </c>
      <c r="M14" t="s">
        <v>139</v>
      </c>
      <c r="N14" t="s">
        <v>140</v>
      </c>
      <c r="O14" t="s">
        <v>141</v>
      </c>
      <c r="P14" t="s">
        <v>89</v>
      </c>
      <c r="Q14" t="s">
        <v>143</v>
      </c>
      <c r="R14" t="s">
        <v>144</v>
      </c>
      <c r="S14" t="s">
        <v>145</v>
      </c>
      <c r="T14" t="s">
        <v>107</v>
      </c>
      <c r="U14" t="s">
        <v>146</v>
      </c>
      <c r="V14" s="50" t="s">
        <v>160</v>
      </c>
      <c r="X14" t="s">
        <v>159</v>
      </c>
      <c r="Y14" t="s">
        <v>108</v>
      </c>
      <c r="Z14" t="s">
        <v>139</v>
      </c>
      <c r="AA14" t="s">
        <v>140</v>
      </c>
      <c r="AB14" t="s">
        <v>141</v>
      </c>
      <c r="AC14" t="s">
        <v>89</v>
      </c>
      <c r="AD14" t="s">
        <v>143</v>
      </c>
      <c r="AE14" t="s">
        <v>144</v>
      </c>
      <c r="AF14" t="s">
        <v>145</v>
      </c>
      <c r="AG14" t="s">
        <v>107</v>
      </c>
      <c r="AH14" t="s">
        <v>146</v>
      </c>
      <c r="AI14" t="s">
        <v>147</v>
      </c>
      <c r="AJ14" t="s">
        <v>163</v>
      </c>
    </row>
    <row r="15" spans="2:36" x14ac:dyDescent="0.25">
      <c r="B15" s="41"/>
      <c r="C15" t="s">
        <v>71</v>
      </c>
      <c r="D15" t="s">
        <v>48</v>
      </c>
      <c r="E15" s="44">
        <f>G15/1000</f>
        <v>3.5999999999999997E-2</v>
      </c>
      <c r="F15" s="47">
        <f>E15*3600</f>
        <v>129.6</v>
      </c>
      <c r="G15" s="5">
        <f>'1 pompa'!G59*E$12</f>
        <v>36</v>
      </c>
      <c r="H15" s="54">
        <f>'1 pompa'!H59</f>
        <v>19.600000000000001</v>
      </c>
      <c r="I15" s="28"/>
      <c r="K15" s="48">
        <f>E15/E$12</f>
        <v>1.1999999999999999E-2</v>
      </c>
      <c r="L15" s="5">
        <f>K15/'1 pompa'!$G$35</f>
        <v>1.2633573722166656</v>
      </c>
      <c r="M15" s="11">
        <f>('1 pompa'!$E$35/1000)*L15/'1 pompa'!$E$20</f>
        <v>138030.70216908344</v>
      </c>
      <c r="N15" s="52">
        <f>1/(1+POWER((M15/2712), 8.4))</f>
        <v>4.6114499411789594E-15</v>
      </c>
      <c r="O15" s="48">
        <f>1/(1+(POWER(M15/(150*(('1 pompa'!$E$35/1000)/'1 pompa'!$E$42)),1.8)))</f>
        <v>3.1622595672045908E-2</v>
      </c>
      <c r="P15" s="5">
        <f>POWER((64/M15), N15)</f>
        <v>0.99999999999996458</v>
      </c>
      <c r="Q15" s="48">
        <f>POWER(0.75*LN(M15/5.37), 2*(N15-1)*O15)</f>
        <v>0.87949975552269399</v>
      </c>
      <c r="R15" s="48">
        <f>POWER(0.88*LN(3.41*('1 pompa'!$E$35/1000/'1 pompa'!$E$42)), 2*(N15-1)*(1-O15))</f>
        <v>3.7985670485573143E-2</v>
      </c>
      <c r="S15" s="48">
        <f>P15*Q15*R15</f>
        <v>3.340838790542601E-2</v>
      </c>
      <c r="T15" s="31">
        <f>'1 pompa'!$E$34*S15*POWER(L15, 2)/(2*9.81*'1 pompa'!$E$35/1000)</f>
        <v>0.14824072139986819</v>
      </c>
      <c r="U15" s="31">
        <f>POWER(L15, 2)*'1 pompa'!$E$39/(2*9.81)</f>
        <v>0.2749603900498262</v>
      </c>
      <c r="V15" s="31">
        <f>T15+U15</f>
        <v>0.42320111144969441</v>
      </c>
      <c r="X15" s="48">
        <f t="shared" ref="X15:X29" si="0">E15/Z$12</f>
        <v>3.5999999999999997E-2</v>
      </c>
      <c r="Y15" s="5">
        <f>X15/'1 pompa'!$G$44</f>
        <v>1.4154281670205238</v>
      </c>
      <c r="Z15" s="11">
        <f>('1 pompa'!$E$44/1000)*Y15/'1 pompa'!$E$20</f>
        <v>253056.28730998634</v>
      </c>
      <c r="AA15" s="52">
        <f>1/(1+POWER((Z15/2712), 8.4))</f>
        <v>2.8353680841131264E-17</v>
      </c>
      <c r="AB15" s="48">
        <f>1/(1+(POWER(Z15/(150*(('1 pompa'!$E$44/1000)/'1 pompa'!$E$51)),1.8)))</f>
        <v>5.839639563913529E-2</v>
      </c>
      <c r="AC15" s="5">
        <f>POWER((64/Z15), AA15)</f>
        <v>0.99999999999999978</v>
      </c>
      <c r="AD15" s="48">
        <f>POWER(0.75*LN(Z15/5.37), 2*(AA15-1)*AB15)</f>
        <v>0.78357607340877178</v>
      </c>
      <c r="AE15" s="48">
        <f>POWER(0.88*LN(3.41*('1 pompa'!$E$44/1000/'1 pompa'!$E$51)), 2*(AA15-1)*(1-AB15))</f>
        <v>3.1621302900020125E-2</v>
      </c>
      <c r="AF15" s="48">
        <f>AC15*AD15*AE15</f>
        <v>2.4777696362467169E-2</v>
      </c>
      <c r="AG15" s="31">
        <f>'1 pompa'!$E$16*AF15*POWER(Y15, 2)/(2*9.81*'1 pompa'!$E$44/1000)</f>
        <v>35.140270054882912</v>
      </c>
      <c r="AH15" s="31">
        <f>POWER(Y15, 2)*'1 pompa'!$E$48/(2*9.81)</f>
        <v>0</v>
      </c>
      <c r="AI15" s="31">
        <f>AG15+AH15</f>
        <v>35.140270054882912</v>
      </c>
      <c r="AJ15" s="55">
        <f t="shared" ref="AJ15:AJ29" si="1">AI15+V15+K$34</f>
        <v>45.822388363784839</v>
      </c>
    </row>
    <row r="16" spans="2:36" x14ac:dyDescent="0.25">
      <c r="B16" s="41"/>
      <c r="C16" t="s">
        <v>72</v>
      </c>
      <c r="D16" t="s">
        <v>48</v>
      </c>
      <c r="E16" s="44">
        <f t="shared" ref="E16:E29" si="2">G16/1000</f>
        <v>3.9E-2</v>
      </c>
      <c r="F16" s="47">
        <f t="shared" ref="F16:F23" si="3">E16*3600</f>
        <v>140.4</v>
      </c>
      <c r="G16" s="5">
        <f>'1 pompa'!G60*E$12</f>
        <v>39</v>
      </c>
      <c r="H16" s="54">
        <f>'1 pompa'!H60</f>
        <v>19.2</v>
      </c>
      <c r="I16" s="28"/>
      <c r="K16" s="48">
        <f t="shared" ref="K16:K29" si="4">E16/E$12</f>
        <v>1.2999999999999999E-2</v>
      </c>
      <c r="L16" s="5">
        <f>K16/'1 pompa'!$G$35</f>
        <v>1.3686371532347212</v>
      </c>
      <c r="M16" s="11">
        <f>('1 pompa'!$E$35/1000)*L16/'1 pompa'!$E$20</f>
        <v>149533.26068317375</v>
      </c>
      <c r="N16" s="52">
        <f t="shared" ref="N16:N29" si="5">1/(1+POWER((M16/2712), 8.4))</f>
        <v>2.3541590772179867E-15</v>
      </c>
      <c r="O16" s="48">
        <f>1/(1+(POWER(M16/(150*(('1 pompa'!$E$35/1000)/'1 pompa'!$E$42)),1.8)))</f>
        <v>2.7496181870216293E-2</v>
      </c>
      <c r="P16" s="5">
        <f t="shared" ref="P16:P29" si="6">POWER((64/M16), N16)</f>
        <v>0.99999999999998179</v>
      </c>
      <c r="Q16" s="48">
        <f t="shared" ref="Q16:Q29" si="7">POWER(0.75*LN(M16/5.37), 2*(N16-1)*O16)</f>
        <v>0.89397392237884998</v>
      </c>
      <c r="R16" s="48">
        <f>POWER(0.88*LN(3.41*('1 pompa'!$E$35/1000/'1 pompa'!$E$42)), 2*(N16-1)*(1-O16))</f>
        <v>3.7459961373150621E-2</v>
      </c>
      <c r="S16" s="48">
        <f t="shared" ref="S16:S29" si="8">P16*Q16*R16</f>
        <v>3.3488228600915063E-2</v>
      </c>
      <c r="T16" s="31">
        <f>'1 pompa'!$E$34*S16*POWER(L16, 2)/(2*9.81*'1 pompa'!$E$35/1000)</f>
        <v>0.17439273481411655</v>
      </c>
      <c r="U16" s="31">
        <f>POWER(L16, 2)*'1 pompa'!$E$39/(2*9.81)</f>
        <v>0.32269656887792114</v>
      </c>
      <c r="V16" s="31">
        <f t="shared" ref="V16:V29" si="9">T16+U16</f>
        <v>0.49708930369203769</v>
      </c>
      <c r="X16" s="48">
        <f t="shared" si="0"/>
        <v>3.9E-2</v>
      </c>
      <c r="Y16" s="5">
        <f>X16/'1 pompa'!$G$44</f>
        <v>1.5333805142722341</v>
      </c>
      <c r="Z16" s="11">
        <f>('1 pompa'!$E$44/1000)*Y16/'1 pompa'!$E$20</f>
        <v>274144.3112524852</v>
      </c>
      <c r="AA16" s="52">
        <f t="shared" ref="AA16:AA29" si="10">1/(1+POWER((Z16/2712), 8.4))</f>
        <v>1.4474639424932307E-17</v>
      </c>
      <c r="AB16" s="48">
        <f>1/(1+(POWER(Z16/(150*(('1 pompa'!$E$44/1000)/'1 pompa'!$E$51)),1.8)))</f>
        <v>5.0960137730898018E-2</v>
      </c>
      <c r="AC16" s="5">
        <f t="shared" ref="AC16:AC29" si="11">POWER((64/Z16), AA16)</f>
        <v>0.99999999999999989</v>
      </c>
      <c r="AD16" s="48">
        <f t="shared" ref="AD16:AD29" si="12">POWER(0.75*LN(Z16/5.37), 2*(AA16-1)*AB16)</f>
        <v>0.80768300439236718</v>
      </c>
      <c r="AE16" s="48">
        <f>POWER(0.88*LN(3.41*('1 pompa'!$E$44/1000/'1 pompa'!$E$51)), 2*(AA16-1)*(1-AB16))</f>
        <v>3.0770421160544913E-2</v>
      </c>
      <c r="AF16" s="48">
        <f t="shared" ref="AF16:AF29" si="13">AC16*AD16*AE16</f>
        <v>2.4852746209367383E-2</v>
      </c>
      <c r="AG16" s="31">
        <f>'1 pompa'!$E$16*AF16*POWER(Y16, 2)/(2*9.81*'1 pompa'!$E$44/1000)</f>
        <v>41.365927419030591</v>
      </c>
      <c r="AH16" s="31">
        <f>POWER(Y16, 2)*'1 pompa'!$E$48/(2*9.81)</f>
        <v>0</v>
      </c>
      <c r="AI16" s="31">
        <f t="shared" ref="AI16:AI29" si="14">AG16+AH16</f>
        <v>41.365927419030591</v>
      </c>
      <c r="AJ16" s="55">
        <f t="shared" si="1"/>
        <v>52.121933920174861</v>
      </c>
    </row>
    <row r="17" spans="2:36" x14ac:dyDescent="0.25">
      <c r="B17" s="41"/>
      <c r="C17" t="s">
        <v>73</v>
      </c>
      <c r="D17" t="s">
        <v>48</v>
      </c>
      <c r="E17" s="44">
        <f t="shared" si="2"/>
        <v>4.2000000000000003E-2</v>
      </c>
      <c r="F17" s="47">
        <f t="shared" si="3"/>
        <v>151.20000000000002</v>
      </c>
      <c r="G17" s="5">
        <f>'1 pompa'!G61*E$12</f>
        <v>42</v>
      </c>
      <c r="H17" s="54">
        <f>'1 pompa'!H61</f>
        <v>18.899999999999999</v>
      </c>
      <c r="I17" s="28"/>
      <c r="K17" s="48">
        <f t="shared" si="4"/>
        <v>1.4E-2</v>
      </c>
      <c r="L17" s="5">
        <f>K17/'1 pompa'!$G$35</f>
        <v>1.4739169342527767</v>
      </c>
      <c r="M17" s="11">
        <f>('1 pompa'!$E$35/1000)*L17/'1 pompa'!$E$20</f>
        <v>161035.81919726403</v>
      </c>
      <c r="N17" s="52">
        <f t="shared" si="5"/>
        <v>1.2632359182284018E-15</v>
      </c>
      <c r="O17" s="48">
        <f>1/(1+(POWER(M17/(150*(('1 pompa'!$E$35/1000)/'1 pompa'!$E$42)),1.8)))</f>
        <v>2.4145365048296501E-2</v>
      </c>
      <c r="P17" s="5">
        <f t="shared" si="6"/>
        <v>0.99999999999999012</v>
      </c>
      <c r="Q17" s="48">
        <f t="shared" si="7"/>
        <v>0.9059522821164272</v>
      </c>
      <c r="R17" s="48">
        <f>POWER(0.88*LN(3.41*('1 pompa'!$E$35/1000/'1 pompa'!$E$42)), 2*(N17-1)*(1-O17))</f>
        <v>3.7038421602644152E-2</v>
      </c>
      <c r="S17" s="48">
        <f t="shared" si="8"/>
        <v>3.355504257690551E-2</v>
      </c>
      <c r="T17" s="31">
        <f>'1 pompa'!$E$34*S17*POWER(L17, 2)/(2*9.81*'1 pompa'!$E$35/1000)</f>
        <v>0.20265782327377574</v>
      </c>
      <c r="U17" s="31">
        <f>POWER(L17, 2)*'1 pompa'!$E$39/(2*9.81)</f>
        <v>0.37425164201226357</v>
      </c>
      <c r="V17" s="31">
        <f t="shared" si="9"/>
        <v>0.57690946528603937</v>
      </c>
      <c r="X17" s="48">
        <f t="shared" si="0"/>
        <v>4.2000000000000003E-2</v>
      </c>
      <c r="Y17" s="5">
        <f>X17/'1 pompa'!$G$44</f>
        <v>1.6513328615239447</v>
      </c>
      <c r="Z17" s="11">
        <f>('1 pompa'!$E$44/1000)*Y17/'1 pompa'!$E$20</f>
        <v>295232.3351949841</v>
      </c>
      <c r="AA17" s="52">
        <f t="shared" si="10"/>
        <v>7.7670555919217753E-18</v>
      </c>
      <c r="AB17" s="48">
        <f>1/(1+(POWER(Z17/(150*(('1 pompa'!$E$44/1000)/'1 pompa'!$E$51)),1.8)))</f>
        <v>4.4881855598063791E-2</v>
      </c>
      <c r="AC17" s="5">
        <f t="shared" si="11"/>
        <v>0.99999999999999989</v>
      </c>
      <c r="AD17" s="48">
        <f t="shared" si="12"/>
        <v>0.82801691480798068</v>
      </c>
      <c r="AE17" s="48">
        <f>POWER(0.88*LN(3.41*('1 pompa'!$E$44/1000/'1 pompa'!$E$51)), 2*(AA17-1)*(1-AB17))</f>
        <v>3.0091957662979653E-2</v>
      </c>
      <c r="AF17" s="48">
        <f t="shared" si="13"/>
        <v>2.4916649944632781E-2</v>
      </c>
      <c r="AG17" s="31">
        <f>'1 pompa'!$E$16*AF17*POWER(Y17, 2)/(2*9.81*'1 pompa'!$E$44/1000)</f>
        <v>48.098042108705108</v>
      </c>
      <c r="AH17" s="31">
        <f>POWER(Y17, 2)*'1 pompa'!$E$48/(2*9.81)</f>
        <v>0</v>
      </c>
      <c r="AI17" s="31">
        <f t="shared" si="14"/>
        <v>48.098042108705108</v>
      </c>
      <c r="AJ17" s="55">
        <f t="shared" si="1"/>
        <v>58.933868771443379</v>
      </c>
    </row>
    <row r="18" spans="2:36" x14ac:dyDescent="0.25">
      <c r="B18" s="41"/>
      <c r="C18" t="s">
        <v>74</v>
      </c>
      <c r="D18" t="s">
        <v>48</v>
      </c>
      <c r="E18" s="44">
        <f t="shared" si="2"/>
        <v>4.4999999999999998E-2</v>
      </c>
      <c r="F18" s="47">
        <f t="shared" si="3"/>
        <v>162</v>
      </c>
      <c r="G18" s="5">
        <f>'1 pompa'!G62*E$12</f>
        <v>45</v>
      </c>
      <c r="H18" s="54">
        <f>'1 pompa'!H62</f>
        <v>18.600000000000001</v>
      </c>
      <c r="I18" s="28"/>
      <c r="K18" s="48">
        <f t="shared" si="4"/>
        <v>1.4999999999999999E-2</v>
      </c>
      <c r="L18" s="5">
        <f>K18/'1 pompa'!$G$35</f>
        <v>1.5791967152708322</v>
      </c>
      <c r="M18" s="11">
        <f>('1 pompa'!$E$35/1000)*L18/'1 pompa'!$E$20</f>
        <v>172538.37771135432</v>
      </c>
      <c r="N18" s="52">
        <f t="shared" si="5"/>
        <v>7.0760906729933592E-16</v>
      </c>
      <c r="O18" s="48">
        <f>1/(1+(POWER(M18/(150*(('1 pompa'!$E$35/1000)/'1 pompa'!$E$42)),1.8)))</f>
        <v>2.1385841285824259E-2</v>
      </c>
      <c r="P18" s="5">
        <f t="shared" si="6"/>
        <v>0.99999999999999445</v>
      </c>
      <c r="Q18" s="48">
        <f t="shared" si="7"/>
        <v>0.91597529322290905</v>
      </c>
      <c r="R18" s="48">
        <f>POWER(0.88*LN(3.41*('1 pompa'!$E$35/1000/'1 pompa'!$E$42)), 2*(N18-1)*(1-O18))</f>
        <v>3.6694831971503056E-2</v>
      </c>
      <c r="S18" s="48">
        <f t="shared" si="8"/>
        <v>3.3611559474862704E-2</v>
      </c>
      <c r="T18" s="31">
        <f>'1 pompa'!$E$34*S18*POWER(L18, 2)/(2*9.81*'1 pompa'!$E$35/1000)</f>
        <v>0.23303475079153396</v>
      </c>
      <c r="U18" s="31">
        <f>POWER(L18, 2)*'1 pompa'!$E$39/(2*9.81)</f>
        <v>0.42962560945285355</v>
      </c>
      <c r="V18" s="31">
        <f t="shared" si="9"/>
        <v>0.66266036024438746</v>
      </c>
      <c r="X18" s="48">
        <f t="shared" si="0"/>
        <v>4.4999999999999998E-2</v>
      </c>
      <c r="Y18" s="5">
        <f>X18/'1 pompa'!$G$44</f>
        <v>1.7692852087756548</v>
      </c>
      <c r="Z18" s="11">
        <f>('1 pompa'!$E$44/1000)*Y18/'1 pompa'!$E$20</f>
        <v>316320.35913748294</v>
      </c>
      <c r="AA18" s="52">
        <f t="shared" si="10"/>
        <v>4.3507621052840689E-18</v>
      </c>
      <c r="AB18" s="48">
        <f>1/(1+(POWER(Z18/(150*(('1 pompa'!$E$44/1000)/'1 pompa'!$E$51)),1.8)))</f>
        <v>3.9849177766892126E-2</v>
      </c>
      <c r="AC18" s="5">
        <f t="shared" si="11"/>
        <v>1</v>
      </c>
      <c r="AD18" s="48">
        <f t="shared" si="12"/>
        <v>0.84530124558755171</v>
      </c>
      <c r="AE18" s="48">
        <f>POWER(0.88*LN(3.41*('1 pompa'!$E$44/1000/'1 pompa'!$E$51)), 2*(AA18-1)*(1-AB18))</f>
        <v>2.9541540732447177E-2</v>
      </c>
      <c r="AF18" s="48">
        <f t="shared" si="13"/>
        <v>2.4971501177712994E-2</v>
      </c>
      <c r="AG18" s="31">
        <f>'1 pompa'!$E$16*AF18*POWER(Y18, 2)/(2*9.81*'1 pompa'!$E$44/1000)</f>
        <v>55.336137931256808</v>
      </c>
      <c r="AH18" s="31">
        <f>POWER(Y18, 2)*'1 pompa'!$E$48/(2*9.81)</f>
        <v>0</v>
      </c>
      <c r="AI18" s="31">
        <f t="shared" si="14"/>
        <v>55.336137931256808</v>
      </c>
      <c r="AJ18" s="55">
        <f t="shared" si="1"/>
        <v>66.257715488953437</v>
      </c>
    </row>
    <row r="19" spans="2:36" x14ac:dyDescent="0.25">
      <c r="B19" s="41"/>
      <c r="C19" t="s">
        <v>75</v>
      </c>
      <c r="D19" t="s">
        <v>48</v>
      </c>
      <c r="E19" s="44">
        <f t="shared" si="2"/>
        <v>4.8000000000000001E-2</v>
      </c>
      <c r="F19" s="47">
        <f t="shared" si="3"/>
        <v>172.8</v>
      </c>
      <c r="G19" s="5">
        <f>'1 pompa'!G63*E$12</f>
        <v>48</v>
      </c>
      <c r="H19" s="54">
        <f>'1 pompa'!H63</f>
        <v>18.399999999999999</v>
      </c>
      <c r="I19" s="28"/>
      <c r="K19" s="48">
        <f t="shared" si="4"/>
        <v>1.6E-2</v>
      </c>
      <c r="L19" s="5">
        <f>K19/'1 pompa'!$G$35</f>
        <v>1.6844764962888878</v>
      </c>
      <c r="M19" s="11">
        <f>('1 pompa'!$E$35/1000)*L19/'1 pompa'!$E$20</f>
        <v>184040.93622544463</v>
      </c>
      <c r="N19" s="52">
        <f t="shared" si="5"/>
        <v>4.1148320237395639E-16</v>
      </c>
      <c r="O19" s="48">
        <f>1/(1+(POWER(M19/(150*(('1 pompa'!$E$35/1000)/'1 pompa'!$E$42)),1.8)))</f>
        <v>1.9085101449984116E-2</v>
      </c>
      <c r="P19" s="5">
        <f t="shared" si="6"/>
        <v>0.99999999999999667</v>
      </c>
      <c r="Q19" s="48">
        <f t="shared" si="7"/>
        <v>0.92444615604967595</v>
      </c>
      <c r="R19" s="48">
        <f>POWER(0.88*LN(3.41*('1 pompa'!$E$35/1000/'1 pompa'!$E$42)), 2*(N19-1)*(1-O19))</f>
        <v>3.6410803523916867E-2</v>
      </c>
      <c r="S19" s="48">
        <f t="shared" si="8"/>
        <v>3.365982735636483E-2</v>
      </c>
      <c r="T19" s="31">
        <f>'1 pompa'!$E$34*S19*POWER(L19, 2)/(2*9.81*'1 pompa'!$E$35/1000)</f>
        <v>0.26552251773830771</v>
      </c>
      <c r="U19" s="31">
        <f>POWER(L19, 2)*'1 pompa'!$E$39/(2*9.81)</f>
        <v>0.4888184711996913</v>
      </c>
      <c r="V19" s="31">
        <f t="shared" si="9"/>
        <v>0.75434098893799906</v>
      </c>
      <c r="X19" s="48">
        <f t="shared" si="0"/>
        <v>4.8000000000000001E-2</v>
      </c>
      <c r="Y19" s="5">
        <f>X19/'1 pompa'!$G$44</f>
        <v>1.8872375560273651</v>
      </c>
      <c r="Z19" s="11">
        <f>('1 pompa'!$E$44/1000)*Y19/'1 pompa'!$E$20</f>
        <v>337408.38307998184</v>
      </c>
      <c r="AA19" s="52">
        <f t="shared" si="10"/>
        <v>2.5300206096599084E-18</v>
      </c>
      <c r="AB19" s="48">
        <f>1/(1+(POWER(Z19/(150*(('1 pompa'!$E$44/1000)/'1 pompa'!$E$51)),1.8)))</f>
        <v>3.5634436685933892E-2</v>
      </c>
      <c r="AC19" s="5">
        <f t="shared" si="11"/>
        <v>1</v>
      </c>
      <c r="AD19" s="48">
        <f t="shared" si="12"/>
        <v>0.86010202730950025</v>
      </c>
      <c r="AE19" s="48">
        <f>POWER(0.88*LN(3.41*('1 pompa'!$E$44/1000/'1 pompa'!$E$51)), 2*(AA19-1)*(1-AB19))</f>
        <v>2.9088334452153215E-2</v>
      </c>
      <c r="AF19" s="48">
        <f t="shared" si="13"/>
        <v>2.5018935433353762E-2</v>
      </c>
      <c r="AG19" s="31">
        <f>'1 pompa'!$E$16*AF19*POWER(Y19, 2)/(2*9.81*'1 pompa'!$E$44/1000)</f>
        <v>63.079823241212132</v>
      </c>
      <c r="AH19" s="31">
        <f>POWER(Y19, 2)*'1 pompa'!$E$48/(2*9.81)</f>
        <v>0</v>
      </c>
      <c r="AI19" s="31">
        <f t="shared" si="14"/>
        <v>63.079823241212132</v>
      </c>
      <c r="AJ19" s="55">
        <f t="shared" si="1"/>
        <v>74.093081427602357</v>
      </c>
    </row>
    <row r="20" spans="2:36" x14ac:dyDescent="0.25">
      <c r="B20" s="41"/>
      <c r="C20" t="s">
        <v>76</v>
      </c>
      <c r="D20" t="s">
        <v>48</v>
      </c>
      <c r="E20" s="44">
        <f t="shared" si="2"/>
        <v>5.0999999999999997E-2</v>
      </c>
      <c r="F20" s="47">
        <f t="shared" si="3"/>
        <v>183.6</v>
      </c>
      <c r="G20" s="5">
        <f>'1 pompa'!G64*E$12</f>
        <v>51</v>
      </c>
      <c r="H20" s="54">
        <f>'1 pompa'!H64</f>
        <v>18.100000000000001</v>
      </c>
      <c r="I20" s="28"/>
      <c r="K20" s="48">
        <f t="shared" si="4"/>
        <v>1.6999999999999998E-2</v>
      </c>
      <c r="L20" s="5">
        <f>K20/'1 pompa'!$G$35</f>
        <v>1.7897562773069429</v>
      </c>
      <c r="M20" s="11">
        <f>('1 pompa'!$E$35/1000)*L20/'1 pompa'!$E$20</f>
        <v>195543.49473953489</v>
      </c>
      <c r="N20" s="52">
        <f t="shared" si="5"/>
        <v>2.4728001921999218E-16</v>
      </c>
      <c r="O20" s="48">
        <f>1/(1+(POWER(M20/(150*(('1 pompa'!$E$35/1000)/'1 pompa'!$E$42)),1.8)))</f>
        <v>1.714589299733791E-2</v>
      </c>
      <c r="P20" s="5">
        <f t="shared" si="6"/>
        <v>0.999999999999998</v>
      </c>
      <c r="Q20" s="48">
        <f t="shared" si="7"/>
        <v>0.93167002713793312</v>
      </c>
      <c r="R20" s="48">
        <f>POWER(0.88*LN(3.41*('1 pompa'!$E$35/1000/'1 pompa'!$E$42)), 2*(N20-1)*(1-O20))</f>
        <v>3.6173114565595355E-2</v>
      </c>
      <c r="S20" s="48">
        <f t="shared" si="8"/>
        <v>3.3701406628991723E-2</v>
      </c>
      <c r="T20" s="31">
        <f>'1 pompa'!$E$34*S20*POWER(L20, 2)/(2*9.81*'1 pompa'!$E$35/1000)</f>
        <v>0.30012030466080775</v>
      </c>
      <c r="U20" s="31">
        <f>POWER(L20, 2)*'1 pompa'!$E$39/(2*9.81)</f>
        <v>0.55183022725277631</v>
      </c>
      <c r="V20" s="31">
        <f t="shared" si="9"/>
        <v>0.85195053191358405</v>
      </c>
      <c r="X20" s="48">
        <f t="shared" si="0"/>
        <v>5.0999999999999997E-2</v>
      </c>
      <c r="Y20" s="5">
        <f>X20/'1 pompa'!$G$44</f>
        <v>2.0051899032790752</v>
      </c>
      <c r="Z20" s="11">
        <f>('1 pompa'!$E$44/1000)*Y20/'1 pompa'!$E$20</f>
        <v>358496.40702248062</v>
      </c>
      <c r="AA20" s="52">
        <f t="shared" si="10"/>
        <v>1.5204108973933544E-18</v>
      </c>
      <c r="AB20" s="48">
        <f>1/(1+(POWER(Z20/(150*(('1 pompa'!$E$44/1000)/'1 pompa'!$E$51)),1.8)))</f>
        <v>3.2068649497973889E-2</v>
      </c>
      <c r="AC20" s="5">
        <f t="shared" si="11"/>
        <v>1</v>
      </c>
      <c r="AD20" s="48">
        <f t="shared" si="12"/>
        <v>0.87286454106476885</v>
      </c>
      <c r="AE20" s="48">
        <f>POWER(0.88*LN(3.41*('1 pompa'!$E$44/1000/'1 pompa'!$E$51)), 2*(AA20-1)*(1-AB20))</f>
        <v>2.8710343129205368E-2</v>
      </c>
      <c r="AF20" s="48">
        <f t="shared" si="13"/>
        <v>2.5060240479285883E-2</v>
      </c>
      <c r="AG20" s="31">
        <f>'1 pompa'!$E$16*AF20*POWER(Y20, 2)/(2*9.81*'1 pompa'!$E$44/1000)</f>
        <v>71.328772945746408</v>
      </c>
      <c r="AH20" s="31">
        <f>POWER(Y20, 2)*'1 pompa'!$E$48/(2*9.81)</f>
        <v>0</v>
      </c>
      <c r="AI20" s="31">
        <f t="shared" si="14"/>
        <v>71.328772945746408</v>
      </c>
      <c r="AJ20" s="55">
        <f t="shared" si="1"/>
        <v>82.43964067511223</v>
      </c>
    </row>
    <row r="21" spans="2:36" x14ac:dyDescent="0.25">
      <c r="B21" s="41"/>
      <c r="C21" t="s">
        <v>77</v>
      </c>
      <c r="D21" t="s">
        <v>48</v>
      </c>
      <c r="E21" s="44">
        <f t="shared" si="2"/>
        <v>5.3999999999999999E-2</v>
      </c>
      <c r="F21" s="47">
        <f t="shared" si="3"/>
        <v>194.4</v>
      </c>
      <c r="G21" s="5">
        <f>'1 pompa'!G65*E$12</f>
        <v>54</v>
      </c>
      <c r="H21" s="54">
        <f>'1 pompa'!H65</f>
        <v>17.7</v>
      </c>
      <c r="I21" s="28"/>
      <c r="K21" s="48">
        <f t="shared" si="4"/>
        <v>1.7999999999999999E-2</v>
      </c>
      <c r="L21" s="5">
        <f>K21/'1 pompa'!$G$35</f>
        <v>1.8950360583249986</v>
      </c>
      <c r="M21" s="11">
        <f>('1 pompa'!$E$35/1000)*L21/'1 pompa'!$E$20</f>
        <v>207046.05325362517</v>
      </c>
      <c r="N21" s="52">
        <f t="shared" si="5"/>
        <v>1.5299277518951367E-16</v>
      </c>
      <c r="O21" s="48">
        <f>1/(1+(POWER(M21/(150*(('1 pompa'!$E$35/1000)/'1 pompa'!$E$42)),1.8)))</f>
        <v>1.549552503883652E-2</v>
      </c>
      <c r="P21" s="5">
        <f t="shared" si="6"/>
        <v>0.99999999999999878</v>
      </c>
      <c r="Q21" s="48">
        <f t="shared" si="7"/>
        <v>0.93788098385071583</v>
      </c>
      <c r="R21" s="48">
        <f>POWER(0.88*LN(3.41*('1 pompa'!$E$35/1000/'1 pompa'!$E$42)), 2*(N21-1)*(1-O21))</f>
        <v>3.5972051383242436E-2</v>
      </c>
      <c r="S21" s="48">
        <f t="shared" si="8"/>
        <v>3.3737502942443882E-2</v>
      </c>
      <c r="T21" s="31">
        <f>'1 pompa'!$E$34*S21*POWER(L21, 2)/(2*9.81*'1 pompa'!$E$35/1000)</f>
        <v>0.33682743161076023</v>
      </c>
      <c r="U21" s="31">
        <f>POWER(L21, 2)*'1 pompa'!$E$39/(2*9.81)</f>
        <v>0.61866087761210908</v>
      </c>
      <c r="V21" s="31">
        <f t="shared" si="9"/>
        <v>0.95548830922286931</v>
      </c>
      <c r="X21" s="48">
        <f t="shared" si="0"/>
        <v>5.3999999999999999E-2</v>
      </c>
      <c r="Y21" s="5">
        <f>X21/'1 pompa'!$G$44</f>
        <v>2.1231422505307855</v>
      </c>
      <c r="Z21" s="11">
        <f>('1 pompa'!$E$44/1000)*Y21/'1 pompa'!$E$20</f>
        <v>379584.43096497952</v>
      </c>
      <c r="AA21" s="52">
        <f t="shared" si="10"/>
        <v>9.4068207918426209E-19</v>
      </c>
      <c r="AB21" s="48">
        <f>1/(1+(POWER(Z21/(150*(('1 pompa'!$E$44/1000)/'1 pompa'!$E$51)),1.8)))</f>
        <v>2.9024317558902227E-2</v>
      </c>
      <c r="AC21" s="5">
        <f t="shared" si="11"/>
        <v>1</v>
      </c>
      <c r="AD21" s="48">
        <f t="shared" si="12"/>
        <v>0.88394142342048421</v>
      </c>
      <c r="AE21" s="48">
        <f>POWER(0.88*LN(3.41*('1 pompa'!$E$44/1000/'1 pompa'!$E$51)), 2*(AA21-1)*(1-AB21))</f>
        <v>2.8391518065808866E-2</v>
      </c>
      <c r="AF21" s="48">
        <f t="shared" si="13"/>
        <v>2.509643889215948E-2</v>
      </c>
      <c r="AG21" s="31">
        <f>'1 pompa'!$E$16*AF21*POWER(Y21, 2)/(2*9.81*'1 pompa'!$E$44/1000)</f>
        <v>80.082714759553681</v>
      </c>
      <c r="AH21" s="31">
        <f>POWER(Y21, 2)*'1 pompa'!$E$48/(2*9.81)</f>
        <v>0</v>
      </c>
      <c r="AI21" s="31">
        <f t="shared" si="14"/>
        <v>80.082714759553681</v>
      </c>
      <c r="AJ21" s="55">
        <f t="shared" si="1"/>
        <v>91.297120266228788</v>
      </c>
    </row>
    <row r="22" spans="2:36" x14ac:dyDescent="0.25">
      <c r="B22" s="41"/>
      <c r="C22" t="s">
        <v>78</v>
      </c>
      <c r="D22" t="s">
        <v>48</v>
      </c>
      <c r="E22" s="44">
        <f t="shared" si="2"/>
        <v>5.7000000000000002E-2</v>
      </c>
      <c r="F22" s="47">
        <f t="shared" si="3"/>
        <v>205.20000000000002</v>
      </c>
      <c r="G22" s="5">
        <f>'1 pompa'!G66*E$12</f>
        <v>57</v>
      </c>
      <c r="H22" s="54">
        <f>'1 pompa'!H66</f>
        <v>17.2</v>
      </c>
      <c r="I22" s="28"/>
      <c r="K22" s="48">
        <f t="shared" si="4"/>
        <v>1.9E-2</v>
      </c>
      <c r="L22" s="5">
        <f>K22/'1 pompa'!$G$35</f>
        <v>2.0003158393430542</v>
      </c>
      <c r="M22" s="11">
        <f>('1 pompa'!$E$35/1000)*L22/'1 pompa'!$E$20</f>
        <v>218548.61176771548</v>
      </c>
      <c r="N22" s="52">
        <f t="shared" si="5"/>
        <v>9.7147072409446307E-17</v>
      </c>
      <c r="O22" s="48">
        <f>1/(1+(POWER(M22/(150*(('1 pompa'!$E$35/1000)/'1 pompa'!$E$42)),1.8)))</f>
        <v>1.4078774265673985E-2</v>
      </c>
      <c r="P22" s="5">
        <f t="shared" si="6"/>
        <v>0.99999999999999922</v>
      </c>
      <c r="Q22" s="48">
        <f t="shared" si="7"/>
        <v>0.94326083467883248</v>
      </c>
      <c r="R22" s="48">
        <f>POWER(0.88*LN(3.41*('1 pompa'!$E$35/1000/'1 pompa'!$E$42)), 2*(N22-1)*(1-O22))</f>
        <v>3.5800341334698983E-2</v>
      </c>
      <c r="S22" s="48">
        <f t="shared" si="8"/>
        <v>3.3769059849155243E-2</v>
      </c>
      <c r="T22" s="31">
        <f>'1 pompa'!$E$34*S22*POWER(L22, 2)/(2*9.81*'1 pompa'!$E$35/1000)</f>
        <v>0.37564332820669888</v>
      </c>
      <c r="U22" s="31">
        <f>POWER(L22, 2)*'1 pompa'!$E$39/(2*9.81)</f>
        <v>0.68931042227768968</v>
      </c>
      <c r="V22" s="31">
        <f t="shared" si="9"/>
        <v>1.0649537504843885</v>
      </c>
      <c r="X22" s="48">
        <f t="shared" si="0"/>
        <v>5.7000000000000002E-2</v>
      </c>
      <c r="Y22" s="5">
        <f>X22/'1 pompa'!$G$44</f>
        <v>2.2410945977824963</v>
      </c>
      <c r="Z22" s="11">
        <f>('1 pompa'!$E$44/1000)*Y22/'1 pompa'!$E$20</f>
        <v>400672.45490747847</v>
      </c>
      <c r="AA22" s="52">
        <f t="shared" si="10"/>
        <v>5.9731258517001056E-19</v>
      </c>
      <c r="AB22" s="48">
        <f>1/(1+(POWER(Z22/(150*(('1 pompa'!$E$44/1000)/'1 pompa'!$E$51)),1.8)))</f>
        <v>2.6403807509637233E-2</v>
      </c>
      <c r="AC22" s="5">
        <f t="shared" si="11"/>
        <v>1</v>
      </c>
      <c r="AD22" s="48">
        <f t="shared" si="12"/>
        <v>0.89361397442578361</v>
      </c>
      <c r="AE22" s="48">
        <f>POWER(0.88*LN(3.41*('1 pompa'!$E$44/1000/'1 pompa'!$E$51)), 2*(AA22-1)*(1-AB22))</f>
        <v>2.8119915723177284E-2</v>
      </c>
      <c r="AF22" s="48">
        <f t="shared" si="13"/>
        <v>2.5128349649906536E-2</v>
      </c>
      <c r="AG22" s="31">
        <f>'1 pompa'!$E$16*AF22*POWER(Y22, 2)/(2*9.81*'1 pompa'!$E$44/1000)</f>
        <v>89.341418665169172</v>
      </c>
      <c r="AH22" s="31">
        <f>POWER(Y22, 2)*'1 pompa'!$E$48/(2*9.81)</f>
        <v>0</v>
      </c>
      <c r="AI22" s="31">
        <f t="shared" si="14"/>
        <v>89.341418665169172</v>
      </c>
      <c r="AJ22" s="55">
        <f t="shared" si="1"/>
        <v>100.6652896131058</v>
      </c>
    </row>
    <row r="23" spans="2:36" x14ac:dyDescent="0.25">
      <c r="B23" s="41"/>
      <c r="C23" t="s">
        <v>79</v>
      </c>
      <c r="D23" t="s">
        <v>48</v>
      </c>
      <c r="E23" s="44">
        <f t="shared" si="2"/>
        <v>0.06</v>
      </c>
      <c r="F23" s="47">
        <f t="shared" si="3"/>
        <v>216</v>
      </c>
      <c r="G23" s="5">
        <f>'1 pompa'!G67*E$12</f>
        <v>60</v>
      </c>
      <c r="H23" s="54">
        <f>'1 pompa'!H67</f>
        <v>16.600000000000001</v>
      </c>
      <c r="I23" s="28"/>
      <c r="K23" s="48">
        <f t="shared" si="4"/>
        <v>0.02</v>
      </c>
      <c r="L23" s="5">
        <f>K23/'1 pompa'!$G$35</f>
        <v>2.1055956203611097</v>
      </c>
      <c r="M23" s="11">
        <f>('1 pompa'!$E$35/1000)*L23/'1 pompa'!$E$20</f>
        <v>230051.17028180577</v>
      </c>
      <c r="N23" s="52">
        <f t="shared" si="5"/>
        <v>6.3140497838026637E-17</v>
      </c>
      <c r="O23" s="48">
        <f>1/(1+(POWER(M23/(150*(('1 pompa'!$E$35/1000)/'1 pompa'!$E$42)),1.8)))</f>
        <v>1.2853071315621294E-2</v>
      </c>
      <c r="P23" s="5">
        <f t="shared" si="6"/>
        <v>0.99999999999999944</v>
      </c>
      <c r="Q23" s="48">
        <f t="shared" si="7"/>
        <v>0.94795243100819238</v>
      </c>
      <c r="R23" s="48">
        <f>POWER(0.88*LN(3.41*('1 pompa'!$E$35/1000/'1 pompa'!$E$42)), 2*(N23-1)*(1-O23))</f>
        <v>3.5652447710009055E-2</v>
      </c>
      <c r="S23" s="48">
        <f t="shared" si="8"/>
        <v>3.3796824478095525E-2</v>
      </c>
      <c r="T23" s="31">
        <f>'1 pompa'!$E$34*S23*POWER(L23, 2)/(2*9.81*'1 pompa'!$E$35/1000)</f>
        <v>0.41656751124899871</v>
      </c>
      <c r="U23" s="31">
        <f>POWER(L23, 2)*'1 pompa'!$E$39/(2*9.81)</f>
        <v>0.76377886124951755</v>
      </c>
      <c r="V23" s="31">
        <f t="shared" si="9"/>
        <v>1.1803463724985161</v>
      </c>
      <c r="X23" s="48">
        <f t="shared" si="0"/>
        <v>0.06</v>
      </c>
      <c r="Y23" s="5">
        <f>X23/'1 pompa'!$G$44</f>
        <v>2.3590469450342062</v>
      </c>
      <c r="Z23" s="11">
        <f>('1 pompa'!$E$44/1000)*Y23/'1 pompa'!$E$20</f>
        <v>421760.4788499772</v>
      </c>
      <c r="AA23" s="52">
        <f t="shared" si="10"/>
        <v>3.8822182755644101E-19</v>
      </c>
      <c r="AB23" s="48">
        <f>1/(1+(POWER(Z23/(150*(('1 pompa'!$E$44/1000)/'1 pompa'!$E$51)),1.8)))</f>
        <v>2.4131346119251874E-2</v>
      </c>
      <c r="AC23" s="5">
        <f t="shared" si="11"/>
        <v>1</v>
      </c>
      <c r="AD23" s="48">
        <f t="shared" si="12"/>
        <v>0.90210826374493691</v>
      </c>
      <c r="AE23" s="48">
        <f>POWER(0.88*LN(3.41*('1 pompa'!$E$44/1000/'1 pompa'!$E$51)), 2*(AA23-1)*(1-AB23))</f>
        <v>2.7886491237756453E-2</v>
      </c>
      <c r="AF23" s="48">
        <f t="shared" si="13"/>
        <v>2.515663419243087E-2</v>
      </c>
      <c r="AG23" s="31">
        <f>'1 pompa'!$E$16*AF23*POWER(Y23, 2)/(2*9.81*'1 pompa'!$E$44/1000)</f>
        <v>99.104688778471882</v>
      </c>
      <c r="AH23" s="31">
        <f>POWER(Y23, 2)*'1 pompa'!$E$48/(2*9.81)</f>
        <v>0</v>
      </c>
      <c r="AI23" s="31">
        <f t="shared" si="14"/>
        <v>99.104688778471882</v>
      </c>
      <c r="AJ23" s="55">
        <f t="shared" si="1"/>
        <v>110.54395234842264</v>
      </c>
    </row>
    <row r="24" spans="2:36" x14ac:dyDescent="0.25">
      <c r="C24" t="s">
        <v>80</v>
      </c>
      <c r="D24" t="s">
        <v>48</v>
      </c>
      <c r="E24" s="44">
        <f t="shared" si="2"/>
        <v>0</v>
      </c>
      <c r="F24" s="48"/>
      <c r="G24" s="5">
        <f>'1 pompa'!G68*E$12</f>
        <v>0</v>
      </c>
      <c r="H24" s="54">
        <f>'1 pompa'!H68</f>
        <v>0</v>
      </c>
      <c r="K24" s="48">
        <f t="shared" si="4"/>
        <v>0</v>
      </c>
      <c r="L24" s="5">
        <f>K24/'1 pompa'!$G$35</f>
        <v>0</v>
      </c>
      <c r="M24" s="11">
        <f>('1 pompa'!$E$35/1000)*L24/'1 pompa'!$E$20</f>
        <v>0</v>
      </c>
      <c r="N24" s="52">
        <f t="shared" si="5"/>
        <v>1</v>
      </c>
      <c r="O24" s="48">
        <f>1/(1+(POWER(M24/(150*(('1 pompa'!$E$35/1000)/'1 pompa'!$E$42)),1.8)))</f>
        <v>1</v>
      </c>
      <c r="P24" s="5" t="e">
        <f t="shared" si="6"/>
        <v>#DIV/0!</v>
      </c>
      <c r="Q24" s="48" t="e">
        <f t="shared" si="7"/>
        <v>#NUM!</v>
      </c>
      <c r="R24" s="48">
        <f>POWER(0.88*LN(3.41*('1 pompa'!$E$35/1000/'1 pompa'!$E$42)), 2*(N24-1)*(1-O24))</f>
        <v>1</v>
      </c>
      <c r="S24" s="48" t="e">
        <f t="shared" si="8"/>
        <v>#DIV/0!</v>
      </c>
      <c r="T24" s="31" t="e">
        <f>'1 pompa'!$E$34*S24*POWER(L24, 2)/(2*9.81*'1 pompa'!$E$35/1000)</f>
        <v>#DIV/0!</v>
      </c>
      <c r="U24" s="31">
        <f>POWER(L24, 2)*'1 pompa'!$E$39/(2*9.81)</f>
        <v>0</v>
      </c>
      <c r="V24" s="31" t="e">
        <f t="shared" si="9"/>
        <v>#DIV/0!</v>
      </c>
      <c r="X24" s="48">
        <f t="shared" si="0"/>
        <v>0</v>
      </c>
      <c r="Y24" s="5">
        <f>X24/'1 pompa'!$G$44</f>
        <v>0</v>
      </c>
      <c r="Z24" s="11">
        <f>('1 pompa'!$E$44/1000)*Y24/'1 pompa'!$E$20</f>
        <v>0</v>
      </c>
      <c r="AA24" s="52">
        <f t="shared" si="10"/>
        <v>1</v>
      </c>
      <c r="AB24" s="48">
        <f>1/(1+(POWER(Z24/(150*(('1 pompa'!$E$44/1000)/'1 pompa'!$E$51)),1.8)))</f>
        <v>1</v>
      </c>
      <c r="AC24" s="5" t="e">
        <f t="shared" si="11"/>
        <v>#DIV/0!</v>
      </c>
      <c r="AD24" s="48" t="e">
        <f t="shared" si="12"/>
        <v>#NUM!</v>
      </c>
      <c r="AE24" s="48">
        <f>POWER(0.88*LN(3.41*('1 pompa'!$E$44/1000/'1 pompa'!$E$51)), 2*(AA24-1)*(1-AB24))</f>
        <v>1</v>
      </c>
      <c r="AF24" s="48" t="e">
        <f t="shared" si="13"/>
        <v>#DIV/0!</v>
      </c>
      <c r="AG24" s="31" t="e">
        <f>'1 pompa'!$E$16*AF24*POWER(Y24, 2)/(2*9.81*'1 pompa'!$E$44/1000)</f>
        <v>#DIV/0!</v>
      </c>
      <c r="AH24" s="31">
        <f>POWER(Y24, 2)*'1 pompa'!$E$48/(2*9.81)</f>
        <v>0</v>
      </c>
      <c r="AI24" s="31" t="e">
        <f t="shared" si="14"/>
        <v>#DIV/0!</v>
      </c>
      <c r="AJ24" s="55" t="e">
        <f t="shared" si="1"/>
        <v>#DIV/0!</v>
      </c>
    </row>
    <row r="25" spans="2:36" x14ac:dyDescent="0.25">
      <c r="C25" t="s">
        <v>81</v>
      </c>
      <c r="D25" t="s">
        <v>48</v>
      </c>
      <c r="E25" s="44">
        <f t="shared" si="2"/>
        <v>0</v>
      </c>
      <c r="F25" s="48"/>
      <c r="G25" s="5">
        <f>'1 pompa'!G69*E$12</f>
        <v>0</v>
      </c>
      <c r="H25" s="54">
        <f>'1 pompa'!H69</f>
        <v>0</v>
      </c>
      <c r="K25" s="48">
        <f t="shared" si="4"/>
        <v>0</v>
      </c>
      <c r="L25" s="5">
        <f>K25/'1 pompa'!$G$35</f>
        <v>0</v>
      </c>
      <c r="M25" s="11">
        <f>('1 pompa'!$E$35/1000)*L25/'1 pompa'!$E$20</f>
        <v>0</v>
      </c>
      <c r="N25" s="52">
        <f t="shared" si="5"/>
        <v>1</v>
      </c>
      <c r="O25" s="48">
        <f>1/(1+(POWER(M25/(150*(('1 pompa'!$E$35/1000)/'1 pompa'!$E$42)),1.8)))</f>
        <v>1</v>
      </c>
      <c r="P25" s="5" t="e">
        <f t="shared" si="6"/>
        <v>#DIV/0!</v>
      </c>
      <c r="Q25" s="48" t="e">
        <f t="shared" si="7"/>
        <v>#NUM!</v>
      </c>
      <c r="R25" s="48">
        <f>POWER(0.88*LN(3.41*('1 pompa'!$E$35/1000/'1 pompa'!$E$42)), 2*(N25-1)*(1-O25))</f>
        <v>1</v>
      </c>
      <c r="S25" s="48" t="e">
        <f t="shared" si="8"/>
        <v>#DIV/0!</v>
      </c>
      <c r="T25" s="31" t="e">
        <f>'1 pompa'!$E$34*S25*POWER(L25, 2)/(2*9.81*'1 pompa'!$E$35/1000)</f>
        <v>#DIV/0!</v>
      </c>
      <c r="U25" s="31">
        <f>POWER(L25, 2)*'1 pompa'!$E$39/(2*9.81)</f>
        <v>0</v>
      </c>
      <c r="V25" s="31" t="e">
        <f t="shared" si="9"/>
        <v>#DIV/0!</v>
      </c>
      <c r="X25" s="48">
        <f t="shared" si="0"/>
        <v>0</v>
      </c>
      <c r="Y25" s="5">
        <f>X25/'1 pompa'!$G$44</f>
        <v>0</v>
      </c>
      <c r="Z25" s="11">
        <f>('1 pompa'!$E$44/1000)*Y25/'1 pompa'!$E$20</f>
        <v>0</v>
      </c>
      <c r="AA25" s="52">
        <f t="shared" si="10"/>
        <v>1</v>
      </c>
      <c r="AB25" s="48">
        <f>1/(1+(POWER(Z25/(150*(('1 pompa'!$E$44/1000)/'1 pompa'!$E$51)),1.8)))</f>
        <v>1</v>
      </c>
      <c r="AC25" s="5" t="e">
        <f t="shared" si="11"/>
        <v>#DIV/0!</v>
      </c>
      <c r="AD25" s="48" t="e">
        <f t="shared" si="12"/>
        <v>#NUM!</v>
      </c>
      <c r="AE25" s="48">
        <f>POWER(0.88*LN(3.41*('1 pompa'!$E$44/1000/'1 pompa'!$E$51)), 2*(AA25-1)*(1-AB25))</f>
        <v>1</v>
      </c>
      <c r="AF25" s="48" t="e">
        <f t="shared" si="13"/>
        <v>#DIV/0!</v>
      </c>
      <c r="AG25" s="31" t="e">
        <f>'1 pompa'!$E$16*AF25*POWER(Y25, 2)/(2*9.81*'1 pompa'!$E$44/1000)</f>
        <v>#DIV/0!</v>
      </c>
      <c r="AH25" s="31">
        <f>POWER(Y25, 2)*'1 pompa'!$E$48/(2*9.81)</f>
        <v>0</v>
      </c>
      <c r="AI25" s="31" t="e">
        <f t="shared" si="14"/>
        <v>#DIV/0!</v>
      </c>
      <c r="AJ25" s="55" t="e">
        <f t="shared" si="1"/>
        <v>#DIV/0!</v>
      </c>
    </row>
    <row r="26" spans="2:36" x14ac:dyDescent="0.25">
      <c r="C26" t="s">
        <v>82</v>
      </c>
      <c r="D26" t="s">
        <v>48</v>
      </c>
      <c r="E26" s="44">
        <f t="shared" si="2"/>
        <v>0</v>
      </c>
      <c r="F26" s="48"/>
      <c r="G26" s="5">
        <f>'1 pompa'!G70*E$12</f>
        <v>0</v>
      </c>
      <c r="H26" s="54">
        <f>'1 pompa'!H70</f>
        <v>0</v>
      </c>
      <c r="K26" s="48">
        <f t="shared" si="4"/>
        <v>0</v>
      </c>
      <c r="L26" s="5">
        <f>K26/'1 pompa'!$G$35</f>
        <v>0</v>
      </c>
      <c r="M26" s="11">
        <f>('1 pompa'!$E$35/1000)*L26/'1 pompa'!$E$20</f>
        <v>0</v>
      </c>
      <c r="N26" s="52">
        <f t="shared" si="5"/>
        <v>1</v>
      </c>
      <c r="O26" s="48">
        <f>1/(1+(POWER(M26/(150*(('1 pompa'!$E$35/1000)/'1 pompa'!$E$42)),1.8)))</f>
        <v>1</v>
      </c>
      <c r="P26" s="5" t="e">
        <f t="shared" si="6"/>
        <v>#DIV/0!</v>
      </c>
      <c r="Q26" s="48" t="e">
        <f t="shared" si="7"/>
        <v>#NUM!</v>
      </c>
      <c r="R26" s="48">
        <f>POWER(0.88*LN(3.41*('1 pompa'!$E$35/1000/'1 pompa'!$E$42)), 2*(N26-1)*(1-O26))</f>
        <v>1</v>
      </c>
      <c r="S26" s="48" t="e">
        <f t="shared" si="8"/>
        <v>#DIV/0!</v>
      </c>
      <c r="T26" s="31" t="e">
        <f>'1 pompa'!$E$34*S26*POWER(L26, 2)/(2*9.81*'1 pompa'!$E$35/1000)</f>
        <v>#DIV/0!</v>
      </c>
      <c r="U26" s="31">
        <f>POWER(L26, 2)*'1 pompa'!$E$39/(2*9.81)</f>
        <v>0</v>
      </c>
      <c r="V26" s="31" t="e">
        <f t="shared" si="9"/>
        <v>#DIV/0!</v>
      </c>
      <c r="X26" s="48">
        <f t="shared" si="0"/>
        <v>0</v>
      </c>
      <c r="Y26" s="5">
        <f>X26/'1 pompa'!$G$44</f>
        <v>0</v>
      </c>
      <c r="Z26" s="11">
        <f>('1 pompa'!$E$44/1000)*Y26/'1 pompa'!$E$20</f>
        <v>0</v>
      </c>
      <c r="AA26" s="52">
        <f t="shared" si="10"/>
        <v>1</v>
      </c>
      <c r="AB26" s="48">
        <f>1/(1+(POWER(Z26/(150*(('1 pompa'!$E$44/1000)/'1 pompa'!$E$51)),1.8)))</f>
        <v>1</v>
      </c>
      <c r="AC26" s="5" t="e">
        <f t="shared" si="11"/>
        <v>#DIV/0!</v>
      </c>
      <c r="AD26" s="48" t="e">
        <f t="shared" si="12"/>
        <v>#NUM!</v>
      </c>
      <c r="AE26" s="48">
        <f>POWER(0.88*LN(3.41*('1 pompa'!$E$44/1000/'1 pompa'!$E$51)), 2*(AA26-1)*(1-AB26))</f>
        <v>1</v>
      </c>
      <c r="AF26" s="48" t="e">
        <f t="shared" si="13"/>
        <v>#DIV/0!</v>
      </c>
      <c r="AG26" s="31" t="e">
        <f>'1 pompa'!$E$16*AF26*POWER(Y26, 2)/(2*9.81*'1 pompa'!$E$44/1000)</f>
        <v>#DIV/0!</v>
      </c>
      <c r="AH26" s="31">
        <f>POWER(Y26, 2)*'1 pompa'!$E$48/(2*9.81)</f>
        <v>0</v>
      </c>
      <c r="AI26" s="31" t="e">
        <f t="shared" si="14"/>
        <v>#DIV/0!</v>
      </c>
      <c r="AJ26" s="55" t="e">
        <f t="shared" si="1"/>
        <v>#DIV/0!</v>
      </c>
    </row>
    <row r="27" spans="2:36" x14ac:dyDescent="0.25">
      <c r="C27" t="s">
        <v>83</v>
      </c>
      <c r="D27" t="s">
        <v>48</v>
      </c>
      <c r="E27" s="44">
        <f t="shared" si="2"/>
        <v>0</v>
      </c>
      <c r="F27" s="48"/>
      <c r="G27" s="5">
        <f>'1 pompa'!G71*E$12</f>
        <v>0</v>
      </c>
      <c r="H27" s="54">
        <f>'1 pompa'!H71</f>
        <v>0</v>
      </c>
      <c r="K27" s="48">
        <f t="shared" si="4"/>
        <v>0</v>
      </c>
      <c r="L27" s="5">
        <f>K27/'1 pompa'!$G$35</f>
        <v>0</v>
      </c>
      <c r="M27" s="11">
        <f>('1 pompa'!$E$35/1000)*L27/'1 pompa'!$E$20</f>
        <v>0</v>
      </c>
      <c r="N27" s="52">
        <f t="shared" si="5"/>
        <v>1</v>
      </c>
      <c r="O27" s="48">
        <f>1/(1+(POWER(M27/(150*(('1 pompa'!$E$35/1000)/'1 pompa'!$E$42)),1.8)))</f>
        <v>1</v>
      </c>
      <c r="P27" s="5" t="e">
        <f t="shared" si="6"/>
        <v>#DIV/0!</v>
      </c>
      <c r="Q27" s="48" t="e">
        <f t="shared" si="7"/>
        <v>#NUM!</v>
      </c>
      <c r="R27" s="48">
        <f>POWER(0.88*LN(3.41*('1 pompa'!$E$35/1000/'1 pompa'!$E$42)), 2*(N27-1)*(1-O27))</f>
        <v>1</v>
      </c>
      <c r="S27" s="48" t="e">
        <f t="shared" si="8"/>
        <v>#DIV/0!</v>
      </c>
      <c r="T27" s="31" t="e">
        <f>'1 pompa'!$E$34*S27*POWER(L27, 2)/(2*9.81*'1 pompa'!$E$35/1000)</f>
        <v>#DIV/0!</v>
      </c>
      <c r="U27" s="31">
        <f>POWER(L27, 2)*'1 pompa'!$E$39/(2*9.81)</f>
        <v>0</v>
      </c>
      <c r="V27" s="31" t="e">
        <f t="shared" si="9"/>
        <v>#DIV/0!</v>
      </c>
      <c r="X27" s="48">
        <f t="shared" si="0"/>
        <v>0</v>
      </c>
      <c r="Y27" s="5">
        <f>X27/'1 pompa'!$G$44</f>
        <v>0</v>
      </c>
      <c r="Z27" s="11">
        <f>('1 pompa'!$E$44/1000)*Y27/'1 pompa'!$E$20</f>
        <v>0</v>
      </c>
      <c r="AA27" s="52">
        <f t="shared" si="10"/>
        <v>1</v>
      </c>
      <c r="AB27" s="48">
        <f>1/(1+(POWER(Z27/(150*(('1 pompa'!$E$44/1000)/'1 pompa'!$E$51)),1.8)))</f>
        <v>1</v>
      </c>
      <c r="AC27" s="5" t="e">
        <f t="shared" si="11"/>
        <v>#DIV/0!</v>
      </c>
      <c r="AD27" s="48" t="e">
        <f t="shared" si="12"/>
        <v>#NUM!</v>
      </c>
      <c r="AE27" s="48">
        <f>POWER(0.88*LN(3.41*('1 pompa'!$E$44/1000/'1 pompa'!$E$51)), 2*(AA27-1)*(1-AB27))</f>
        <v>1</v>
      </c>
      <c r="AF27" s="48" t="e">
        <f t="shared" si="13"/>
        <v>#DIV/0!</v>
      </c>
      <c r="AG27" s="31" t="e">
        <f>'1 pompa'!$E$16*AF27*POWER(Y27, 2)/(2*9.81*'1 pompa'!$E$44/1000)</f>
        <v>#DIV/0!</v>
      </c>
      <c r="AH27" s="31">
        <f>POWER(Y27, 2)*'1 pompa'!$E$48/(2*9.81)</f>
        <v>0</v>
      </c>
      <c r="AI27" s="31" t="e">
        <f t="shared" si="14"/>
        <v>#DIV/0!</v>
      </c>
      <c r="AJ27" s="55" t="e">
        <f t="shared" si="1"/>
        <v>#DIV/0!</v>
      </c>
    </row>
    <row r="28" spans="2:36" x14ac:dyDescent="0.25">
      <c r="C28" t="s">
        <v>84</v>
      </c>
      <c r="D28" t="s">
        <v>48</v>
      </c>
      <c r="E28" s="44">
        <f t="shared" si="2"/>
        <v>0</v>
      </c>
      <c r="F28" s="48"/>
      <c r="G28" s="5">
        <f>'1 pompa'!G72*E$12</f>
        <v>0</v>
      </c>
      <c r="H28" s="54">
        <f>'1 pompa'!H72</f>
        <v>0</v>
      </c>
      <c r="K28" s="48">
        <f t="shared" si="4"/>
        <v>0</v>
      </c>
      <c r="L28" s="5">
        <f>K28/'1 pompa'!$G$35</f>
        <v>0</v>
      </c>
      <c r="M28" s="11">
        <f>('1 pompa'!$E$35/1000)*L28/'1 pompa'!$E$20</f>
        <v>0</v>
      </c>
      <c r="N28" s="52">
        <f t="shared" si="5"/>
        <v>1</v>
      </c>
      <c r="O28" s="48">
        <f>1/(1+(POWER(M28/(150*(('1 pompa'!$E$35/1000)/'1 pompa'!$E$42)),1.8)))</f>
        <v>1</v>
      </c>
      <c r="P28" s="5" t="e">
        <f t="shared" si="6"/>
        <v>#DIV/0!</v>
      </c>
      <c r="Q28" s="48" t="e">
        <f t="shared" si="7"/>
        <v>#NUM!</v>
      </c>
      <c r="R28" s="48">
        <f>POWER(0.88*LN(3.41*('1 pompa'!$E$35/1000/'1 pompa'!$E$42)), 2*(N28-1)*(1-O28))</f>
        <v>1</v>
      </c>
      <c r="S28" s="48" t="e">
        <f t="shared" si="8"/>
        <v>#DIV/0!</v>
      </c>
      <c r="T28" s="31" t="e">
        <f>'1 pompa'!$E$34*S28*POWER(L28, 2)/(2*9.81*'1 pompa'!$E$35/1000)</f>
        <v>#DIV/0!</v>
      </c>
      <c r="U28" s="31">
        <f>POWER(L28, 2)*'1 pompa'!$E$39/(2*9.81)</f>
        <v>0</v>
      </c>
      <c r="V28" s="31" t="e">
        <f t="shared" si="9"/>
        <v>#DIV/0!</v>
      </c>
      <c r="X28" s="48">
        <f t="shared" si="0"/>
        <v>0</v>
      </c>
      <c r="Y28" s="5">
        <f>X28/'1 pompa'!$G$44</f>
        <v>0</v>
      </c>
      <c r="Z28" s="11">
        <f>('1 pompa'!$E$44/1000)*Y28/'1 pompa'!$E$20</f>
        <v>0</v>
      </c>
      <c r="AA28" s="52">
        <f t="shared" si="10"/>
        <v>1</v>
      </c>
      <c r="AB28" s="48">
        <f>1/(1+(POWER(Z28/(150*(('1 pompa'!$E$44/1000)/'1 pompa'!$E$51)),1.8)))</f>
        <v>1</v>
      </c>
      <c r="AC28" s="5" t="e">
        <f t="shared" si="11"/>
        <v>#DIV/0!</v>
      </c>
      <c r="AD28" s="48" t="e">
        <f t="shared" si="12"/>
        <v>#NUM!</v>
      </c>
      <c r="AE28" s="48">
        <f>POWER(0.88*LN(3.41*('1 pompa'!$E$44/1000/'1 pompa'!$E$51)), 2*(AA28-1)*(1-AB28))</f>
        <v>1</v>
      </c>
      <c r="AF28" s="48" t="e">
        <f t="shared" si="13"/>
        <v>#DIV/0!</v>
      </c>
      <c r="AG28" s="31" t="e">
        <f>'1 pompa'!$E$16*AF28*POWER(Y28, 2)/(2*9.81*'1 pompa'!$E$44/1000)</f>
        <v>#DIV/0!</v>
      </c>
      <c r="AH28" s="31">
        <f>POWER(Y28, 2)*'1 pompa'!$E$48/(2*9.81)</f>
        <v>0</v>
      </c>
      <c r="AI28" s="31" t="e">
        <f t="shared" si="14"/>
        <v>#DIV/0!</v>
      </c>
      <c r="AJ28" s="55" t="e">
        <f t="shared" si="1"/>
        <v>#DIV/0!</v>
      </c>
    </row>
    <row r="29" spans="2:36" x14ac:dyDescent="0.25">
      <c r="C29" t="s">
        <v>85</v>
      </c>
      <c r="D29" t="s">
        <v>48</v>
      </c>
      <c r="E29" s="44">
        <f t="shared" si="2"/>
        <v>0</v>
      </c>
      <c r="F29" s="48"/>
      <c r="G29" s="5">
        <f>'1 pompa'!G73*E$12</f>
        <v>0</v>
      </c>
      <c r="H29" s="54">
        <f>'1 pompa'!H73</f>
        <v>0</v>
      </c>
      <c r="K29" s="48">
        <f t="shared" si="4"/>
        <v>0</v>
      </c>
      <c r="L29" s="5">
        <f>K29/'1 pompa'!$G$35</f>
        <v>0</v>
      </c>
      <c r="M29" s="11">
        <f>('1 pompa'!$E$35/1000)*L29/'1 pompa'!$E$20</f>
        <v>0</v>
      </c>
      <c r="N29" s="52">
        <f t="shared" si="5"/>
        <v>1</v>
      </c>
      <c r="O29" s="48">
        <f>1/(1+(POWER(M29/(150*(('1 pompa'!$E$35/1000)/'1 pompa'!$E$42)),1.8)))</f>
        <v>1</v>
      </c>
      <c r="P29" s="5" t="e">
        <f t="shared" si="6"/>
        <v>#DIV/0!</v>
      </c>
      <c r="Q29" s="48" t="e">
        <f t="shared" si="7"/>
        <v>#NUM!</v>
      </c>
      <c r="R29" s="48">
        <f>POWER(0.88*LN(3.41*('1 pompa'!$E$35/1000/'1 pompa'!$E$42)), 2*(N29-1)*(1-O29))</f>
        <v>1</v>
      </c>
      <c r="S29" s="48" t="e">
        <f t="shared" si="8"/>
        <v>#DIV/0!</v>
      </c>
      <c r="T29" s="31" t="e">
        <f>'1 pompa'!$E$34*S29*POWER(L29, 2)/(2*9.81*'1 pompa'!$E$35/1000)</f>
        <v>#DIV/0!</v>
      </c>
      <c r="U29" s="31">
        <f>POWER(L29, 2)*'1 pompa'!$E$39/(2*9.81)</f>
        <v>0</v>
      </c>
      <c r="V29" s="31" t="e">
        <f t="shared" si="9"/>
        <v>#DIV/0!</v>
      </c>
      <c r="X29" s="48">
        <f t="shared" si="0"/>
        <v>0</v>
      </c>
      <c r="Y29" s="5">
        <f>X29/'1 pompa'!$G$44</f>
        <v>0</v>
      </c>
      <c r="Z29" s="11">
        <f>('1 pompa'!$E$44/1000)*Y29/'1 pompa'!$E$20</f>
        <v>0</v>
      </c>
      <c r="AA29" s="52">
        <f t="shared" si="10"/>
        <v>1</v>
      </c>
      <c r="AB29" s="48">
        <f>1/(1+(POWER(Z29/(150*(('1 pompa'!$E$44/1000)/'1 pompa'!$E$51)),1.8)))</f>
        <v>1</v>
      </c>
      <c r="AC29" s="5" t="e">
        <f t="shared" si="11"/>
        <v>#DIV/0!</v>
      </c>
      <c r="AD29" s="48" t="e">
        <f t="shared" si="12"/>
        <v>#NUM!</v>
      </c>
      <c r="AE29" s="48">
        <f>POWER(0.88*LN(3.41*('1 pompa'!$E$44/1000/'1 pompa'!$E$51)), 2*(AA29-1)*(1-AB29))</f>
        <v>1</v>
      </c>
      <c r="AF29" s="48" t="e">
        <f t="shared" si="13"/>
        <v>#DIV/0!</v>
      </c>
      <c r="AG29" s="31" t="e">
        <f>'1 pompa'!$E$16*AF29*POWER(Y29, 2)/(2*9.81*'1 pompa'!$E$44/1000)</f>
        <v>#DIV/0!</v>
      </c>
      <c r="AH29" s="31">
        <f>POWER(Y29, 2)*'1 pompa'!$E$48/(2*9.81)</f>
        <v>0</v>
      </c>
      <c r="AI29" s="31" t="e">
        <f t="shared" si="14"/>
        <v>#DIV/0!</v>
      </c>
      <c r="AJ29" s="55" t="e">
        <f t="shared" si="1"/>
        <v>#DIV/0!</v>
      </c>
    </row>
    <row r="30" spans="2:36" x14ac:dyDescent="0.25">
      <c r="B30" t="s">
        <v>104</v>
      </c>
      <c r="E30" s="32">
        <f>INDEX(LINEST($H$15:$H$23, $E$15:$E$23^TRANSPOSE({1;2;3})),1)</f>
        <v>-246290.06110487797</v>
      </c>
      <c r="F30" s="32">
        <f>INDEX(LINEST($H$15:$H$23, $E$15:$E$23^TRANSPOSE({1;2;3})),1,2)</f>
        <v>33505.691839025487</v>
      </c>
      <c r="G30" s="32">
        <f>INDEX(LINEST($H$15:$H$23, $E$15:$E$23^TRANSPOSE({1;2;3})),1,3)</f>
        <v>-1604.144620811303</v>
      </c>
      <c r="H30" s="32">
        <f>INDEX(LINEST($H$15:$H$23, $E$15:$E$23^TRANSPOSE({1;2;3})),1,4)</f>
        <v>45.412698412698646</v>
      </c>
      <c r="I30" t="s">
        <v>105</v>
      </c>
      <c r="K30" s="32">
        <f>T30+AG30</f>
        <v>28403.50036462639</v>
      </c>
      <c r="L30" s="32">
        <f t="shared" ref="L30:M30" si="15">U30+AH30</f>
        <v>-29.931861709280337</v>
      </c>
      <c r="M30" s="32">
        <f t="shared" si="15"/>
        <v>-0.17084148906930108</v>
      </c>
      <c r="O30" s="51"/>
      <c r="P30" s="51"/>
      <c r="Q30" s="51"/>
      <c r="R30" s="51"/>
      <c r="T30" s="32">
        <f>INDEX(LINEST($V$15:$V$23, $E$15:$E$23^TRANSPOSE({1;2})),1)</f>
        <v>329.39439493363568</v>
      </c>
      <c r="U30" s="32">
        <f>INDEX(LINEST($V$15:$V$23, $E$15:$E$23^TRANSPOSE({1;2})),1,2)</f>
        <v>-7.3960557433486729E-2</v>
      </c>
      <c r="V30" s="32">
        <f>INDEX(LINEST($V$15:$V$23, $E$15:$E$23^TRANSPOSE({1;2})),1,3)</f>
        <v>-1.0337768963613048E-3</v>
      </c>
      <c r="AG30" s="32">
        <f>INDEX(LINEST($AI$15:$AI$23, $E$15:$E$23^TRANSPOSE({1;2})),1)</f>
        <v>28074.105969692755</v>
      </c>
      <c r="AH30" s="32">
        <f>INDEX(LINEST($AI$15:$AI$23, $E$15:$E$23^TRANSPOSE({1;2})),1,2)</f>
        <v>-29.85790115184685</v>
      </c>
      <c r="AI30" s="32">
        <f>INDEX(LINEST($AI$15:$AI$23, $E$15:$E$23^TRANSPOSE({1;2})),1,3)</f>
        <v>-0.16980771217293977</v>
      </c>
    </row>
    <row r="31" spans="2:36" x14ac:dyDescent="0.25">
      <c r="E31" s="7" t="s">
        <v>151</v>
      </c>
      <c r="F31" t="s">
        <v>148</v>
      </c>
      <c r="G31" t="s">
        <v>150</v>
      </c>
      <c r="H31" t="s">
        <v>149</v>
      </c>
      <c r="K31" t="s">
        <v>148</v>
      </c>
      <c r="L31" t="s">
        <v>150</v>
      </c>
      <c r="M31" t="s">
        <v>149</v>
      </c>
      <c r="P31" s="50"/>
      <c r="Q31" s="50"/>
      <c r="R31" s="50"/>
      <c r="S31" s="50"/>
      <c r="T31" s="50"/>
      <c r="U31" t="s">
        <v>148</v>
      </c>
      <c r="V31" t="s">
        <v>150</v>
      </c>
      <c r="W31" t="s">
        <v>149</v>
      </c>
      <c r="AH31" t="s">
        <v>148</v>
      </c>
      <c r="AI31" t="s">
        <v>150</v>
      </c>
      <c r="AJ31" t="s">
        <v>149</v>
      </c>
    </row>
    <row r="32" spans="2:36" ht="33.75" x14ac:dyDescent="0.5">
      <c r="B32" s="1" t="s">
        <v>86</v>
      </c>
      <c r="K32">
        <v>11</v>
      </c>
      <c r="L32">
        <v>12</v>
      </c>
      <c r="M32">
        <v>13</v>
      </c>
      <c r="N32">
        <v>14</v>
      </c>
      <c r="O32">
        <v>15</v>
      </c>
      <c r="P32">
        <v>16</v>
      </c>
      <c r="Q32">
        <v>17</v>
      </c>
      <c r="R32">
        <v>18</v>
      </c>
      <c r="S32">
        <v>19</v>
      </c>
      <c r="T32">
        <v>20</v>
      </c>
      <c r="U32">
        <v>21</v>
      </c>
      <c r="V32">
        <v>22</v>
      </c>
      <c r="W32">
        <v>23</v>
      </c>
      <c r="X32">
        <v>24</v>
      </c>
      <c r="Y32">
        <v>25</v>
      </c>
      <c r="Z32">
        <v>26</v>
      </c>
    </row>
    <row r="33" spans="2:26" x14ac:dyDescent="0.25">
      <c r="B33" t="s">
        <v>88</v>
      </c>
      <c r="C33" s="2" t="s">
        <v>89</v>
      </c>
      <c r="D33" t="s">
        <v>23</v>
      </c>
      <c r="E33" s="6">
        <f>3.14*(POWER('1 pompa'!E17/2, 2))</f>
        <v>3.14</v>
      </c>
      <c r="F33" t="s">
        <v>90</v>
      </c>
      <c r="I33" s="60" t="s">
        <v>100</v>
      </c>
      <c r="J33" t="s">
        <v>101</v>
      </c>
      <c r="K33" s="5">
        <f>E38+E37</f>
        <v>94.741082802547766</v>
      </c>
      <c r="L33" s="5">
        <f>'2 pompy'!E47</f>
        <v>95.641082802547714</v>
      </c>
      <c r="M33" s="5">
        <f>L33+$E$39</f>
        <v>95.741082802547709</v>
      </c>
      <c r="N33" s="5">
        <f>M33+$E$39</f>
        <v>95.841082802547703</v>
      </c>
      <c r="O33" s="5">
        <f t="shared" ref="O33:S33" si="16">N33+$E$39</f>
        <v>95.941082802547697</v>
      </c>
      <c r="P33" s="5">
        <f t="shared" si="16"/>
        <v>96.041082802547692</v>
      </c>
      <c r="Q33" s="5">
        <f t="shared" si="16"/>
        <v>96.141082802547686</v>
      </c>
      <c r="R33" s="5">
        <f t="shared" si="16"/>
        <v>96.24108280254768</v>
      </c>
      <c r="S33" s="5">
        <f t="shared" si="16"/>
        <v>96.341082802547675</v>
      </c>
      <c r="T33" s="5">
        <f>S33+$E$39</f>
        <v>96.441082802547669</v>
      </c>
      <c r="U33" s="5">
        <f t="shared" ref="U33:Z33" si="17">T33+$E$39</f>
        <v>96.541082802547663</v>
      </c>
      <c r="V33" s="5">
        <f t="shared" si="17"/>
        <v>96.641082802547658</v>
      </c>
      <c r="W33" s="5">
        <f t="shared" si="17"/>
        <v>96.741082802547652</v>
      </c>
      <c r="X33" s="5">
        <f t="shared" si="17"/>
        <v>96.841082802547646</v>
      </c>
      <c r="Y33" s="5">
        <f t="shared" si="17"/>
        <v>96.941082802547641</v>
      </c>
      <c r="Z33" s="5">
        <f t="shared" si="17"/>
        <v>97.041082802547635</v>
      </c>
    </row>
    <row r="34" spans="2:26" x14ac:dyDescent="0.25">
      <c r="B34" t="s">
        <v>87</v>
      </c>
      <c r="C34" s="2" t="s">
        <v>91</v>
      </c>
      <c r="D34" t="s">
        <v>23</v>
      </c>
      <c r="E34" s="9">
        <f>'1 pompa'!E78</f>
        <v>3.3249999999999997</v>
      </c>
      <c r="F34" t="s">
        <v>92</v>
      </c>
      <c r="I34" s="60"/>
      <c r="J34" t="s">
        <v>103</v>
      </c>
      <c r="K34" s="5">
        <f>'1 pompa'!$E$14-K33</f>
        <v>10.258917197452234</v>
      </c>
      <c r="L34" s="5">
        <f>'1 pompa'!$E$14-L33</f>
        <v>9.3589171974522856</v>
      </c>
      <c r="M34" s="5">
        <f>'1 pompa'!$E$14-M33</f>
        <v>9.2589171974522912</v>
      </c>
      <c r="N34" s="5">
        <f>'1 pompa'!$E$14-N33</f>
        <v>9.1589171974522969</v>
      </c>
      <c r="O34" s="5">
        <f>'1 pompa'!$E$14-O33</f>
        <v>9.0589171974523026</v>
      </c>
      <c r="P34" s="5">
        <f>'1 pompa'!$E$14-P33</f>
        <v>8.9589171974523083</v>
      </c>
      <c r="Q34" s="5">
        <f>'1 pompa'!$E$14-Q33</f>
        <v>8.858917197452314</v>
      </c>
      <c r="R34" s="5">
        <f>'1 pompa'!$E$14-R33</f>
        <v>8.7589171974523197</v>
      </c>
      <c r="S34" s="5">
        <f>'1 pompa'!$E$14-S33</f>
        <v>8.6589171974523254</v>
      </c>
      <c r="T34" s="5">
        <f>'1 pompa'!$E$14-T33</f>
        <v>8.558917197452331</v>
      </c>
      <c r="U34" s="5">
        <f>'1 pompa'!$E$14-U33</f>
        <v>8.4589171974523367</v>
      </c>
      <c r="V34" s="5">
        <f>'1 pompa'!$E$14-V33</f>
        <v>8.3589171974523424</v>
      </c>
      <c r="W34" s="5">
        <f>'1 pompa'!$E$14-W33</f>
        <v>8.2589171974523481</v>
      </c>
      <c r="X34" s="5">
        <f>'1 pompa'!$E$14-X33</f>
        <v>8.1589171974523538</v>
      </c>
      <c r="Y34" s="5">
        <f>'1 pompa'!$E$14-Y33</f>
        <v>8.0589171974523595</v>
      </c>
      <c r="Z34" s="5">
        <f>'1 pompa'!$E$14-Z33</f>
        <v>7.9589171974523651</v>
      </c>
    </row>
    <row r="35" spans="2:26" x14ac:dyDescent="0.25">
      <c r="B35" t="s">
        <v>93</v>
      </c>
      <c r="C35" s="2" t="s">
        <v>94</v>
      </c>
      <c r="D35" t="s">
        <v>23</v>
      </c>
      <c r="E35" s="9">
        <f>E34/E33</f>
        <v>1.0589171974522291</v>
      </c>
      <c r="F35" t="s">
        <v>19</v>
      </c>
      <c r="J35" t="s">
        <v>109</v>
      </c>
      <c r="K35" s="5">
        <f t="shared" ref="K35:Z35" si="18">K34+$M$30</f>
        <v>10.088075708382933</v>
      </c>
      <c r="L35" s="5">
        <f t="shared" si="18"/>
        <v>9.1880757083829838</v>
      </c>
      <c r="M35" s="5">
        <f t="shared" si="18"/>
        <v>9.0880757083829895</v>
      </c>
      <c r="N35" s="5">
        <f t="shared" si="18"/>
        <v>8.9880757083829952</v>
      </c>
      <c r="O35" s="5">
        <f t="shared" si="18"/>
        <v>8.8880757083830009</v>
      </c>
      <c r="P35" s="5">
        <f t="shared" si="18"/>
        <v>8.7880757083830066</v>
      </c>
      <c r="Q35" s="5">
        <f t="shared" si="18"/>
        <v>8.6880757083830122</v>
      </c>
      <c r="R35" s="5">
        <f t="shared" si="18"/>
        <v>8.5880757083830179</v>
      </c>
      <c r="S35" s="5">
        <f t="shared" si="18"/>
        <v>8.4880757083830236</v>
      </c>
      <c r="T35" s="5">
        <f t="shared" si="18"/>
        <v>8.3880757083830293</v>
      </c>
      <c r="U35" s="5">
        <f t="shared" si="18"/>
        <v>8.288075708383035</v>
      </c>
      <c r="V35" s="5">
        <f t="shared" si="18"/>
        <v>8.1880757083830407</v>
      </c>
      <c r="W35" s="5">
        <f t="shared" si="18"/>
        <v>8.0880757083830463</v>
      </c>
      <c r="X35" s="5">
        <f t="shared" si="18"/>
        <v>7.9880757083830529</v>
      </c>
      <c r="Y35" s="5">
        <f t="shared" si="18"/>
        <v>7.8880757083830586</v>
      </c>
      <c r="Z35" s="5">
        <f t="shared" si="18"/>
        <v>7.7880757083830643</v>
      </c>
    </row>
    <row r="36" spans="2:26" x14ac:dyDescent="0.25">
      <c r="B36" t="s">
        <v>95</v>
      </c>
      <c r="C36" s="2" t="s">
        <v>65</v>
      </c>
      <c r="D36" t="s">
        <v>23</v>
      </c>
      <c r="E36" s="9">
        <f>'1 pompa'!E28-E35</f>
        <v>94.741082802547766</v>
      </c>
      <c r="F36" t="s">
        <v>4</v>
      </c>
      <c r="J36" t="s">
        <v>110</v>
      </c>
      <c r="K36" s="31">
        <f>$E$30</f>
        <v>-246290.06110487797</v>
      </c>
      <c r="L36" s="31">
        <f>$E$30</f>
        <v>-246290.06110487797</v>
      </c>
      <c r="M36" s="31">
        <f t="shared" ref="M36:Z36" si="19">$E$30</f>
        <v>-246290.06110487797</v>
      </c>
      <c r="N36" s="31">
        <f t="shared" si="19"/>
        <v>-246290.06110487797</v>
      </c>
      <c r="O36" s="31">
        <f t="shared" si="19"/>
        <v>-246290.06110487797</v>
      </c>
      <c r="P36" s="31">
        <f t="shared" si="19"/>
        <v>-246290.06110487797</v>
      </c>
      <c r="Q36" s="31">
        <f t="shared" si="19"/>
        <v>-246290.06110487797</v>
      </c>
      <c r="R36" s="31">
        <f t="shared" si="19"/>
        <v>-246290.06110487797</v>
      </c>
      <c r="S36" s="31">
        <f t="shared" si="19"/>
        <v>-246290.06110487797</v>
      </c>
      <c r="T36" s="31">
        <f t="shared" si="19"/>
        <v>-246290.06110487797</v>
      </c>
      <c r="U36" s="31">
        <f t="shared" si="19"/>
        <v>-246290.06110487797</v>
      </c>
      <c r="V36" s="31">
        <f t="shared" si="19"/>
        <v>-246290.06110487797</v>
      </c>
      <c r="W36" s="31">
        <f t="shared" si="19"/>
        <v>-246290.06110487797</v>
      </c>
      <c r="X36" s="31">
        <f t="shared" si="19"/>
        <v>-246290.06110487797</v>
      </c>
      <c r="Y36" s="31">
        <f t="shared" si="19"/>
        <v>-246290.06110487797</v>
      </c>
      <c r="Z36" s="31">
        <f t="shared" si="19"/>
        <v>-246290.06110487797</v>
      </c>
    </row>
    <row r="37" spans="2:26" x14ac:dyDescent="0.25">
      <c r="B37" t="s">
        <v>96</v>
      </c>
      <c r="C37" s="2" t="s">
        <v>97</v>
      </c>
      <c r="D37" t="s">
        <v>23</v>
      </c>
      <c r="E37" s="26">
        <v>0.3</v>
      </c>
      <c r="F37" t="s">
        <v>19</v>
      </c>
      <c r="J37" t="s">
        <v>111</v>
      </c>
      <c r="K37" s="31">
        <f>$F$30-$K$30</f>
        <v>5102.1914743990965</v>
      </c>
      <c r="L37" s="31">
        <f>$F$30-$K$30</f>
        <v>5102.1914743990965</v>
      </c>
      <c r="M37" s="31">
        <f t="shared" ref="M37:Z37" si="20">$F$30-$K$30</f>
        <v>5102.1914743990965</v>
      </c>
      <c r="N37" s="31">
        <f t="shared" si="20"/>
        <v>5102.1914743990965</v>
      </c>
      <c r="O37" s="31">
        <f t="shared" si="20"/>
        <v>5102.1914743990965</v>
      </c>
      <c r="P37" s="31">
        <f t="shared" si="20"/>
        <v>5102.1914743990965</v>
      </c>
      <c r="Q37" s="31">
        <f t="shared" si="20"/>
        <v>5102.1914743990965</v>
      </c>
      <c r="R37" s="31">
        <f t="shared" si="20"/>
        <v>5102.1914743990965</v>
      </c>
      <c r="S37" s="31">
        <f t="shared" si="20"/>
        <v>5102.1914743990965</v>
      </c>
      <c r="T37" s="31">
        <f t="shared" si="20"/>
        <v>5102.1914743990965</v>
      </c>
      <c r="U37" s="31">
        <f t="shared" si="20"/>
        <v>5102.1914743990965</v>
      </c>
      <c r="V37" s="31">
        <f t="shared" si="20"/>
        <v>5102.1914743990965</v>
      </c>
      <c r="W37" s="31">
        <f t="shared" si="20"/>
        <v>5102.1914743990965</v>
      </c>
      <c r="X37" s="31">
        <f t="shared" si="20"/>
        <v>5102.1914743990965</v>
      </c>
      <c r="Y37" s="31">
        <f t="shared" si="20"/>
        <v>5102.1914743990965</v>
      </c>
      <c r="Z37" s="31">
        <f t="shared" si="20"/>
        <v>5102.1914743990965</v>
      </c>
    </row>
    <row r="38" spans="2:26" x14ac:dyDescent="0.25">
      <c r="B38" t="s">
        <v>98</v>
      </c>
      <c r="C38" s="2" t="s">
        <v>65</v>
      </c>
      <c r="D38" t="s">
        <v>23</v>
      </c>
      <c r="E38" s="9">
        <f>E36-E37</f>
        <v>94.441082802547768</v>
      </c>
      <c r="F38" t="s">
        <v>4</v>
      </c>
      <c r="J38" t="s">
        <v>112</v>
      </c>
      <c r="K38" s="31">
        <f t="shared" ref="K38:Z38" si="21">$G$30-$L$30</f>
        <v>-1574.2127591020226</v>
      </c>
      <c r="L38" s="31">
        <f t="shared" si="21"/>
        <v>-1574.2127591020226</v>
      </c>
      <c r="M38" s="31">
        <f t="shared" si="21"/>
        <v>-1574.2127591020226</v>
      </c>
      <c r="N38" s="31">
        <f t="shared" si="21"/>
        <v>-1574.2127591020226</v>
      </c>
      <c r="O38" s="31">
        <f t="shared" si="21"/>
        <v>-1574.2127591020226</v>
      </c>
      <c r="P38" s="31">
        <f t="shared" si="21"/>
        <v>-1574.2127591020226</v>
      </c>
      <c r="Q38" s="31">
        <f t="shared" si="21"/>
        <v>-1574.2127591020226</v>
      </c>
      <c r="R38" s="31">
        <f t="shared" si="21"/>
        <v>-1574.2127591020226</v>
      </c>
      <c r="S38" s="31">
        <f t="shared" si="21"/>
        <v>-1574.2127591020226</v>
      </c>
      <c r="T38" s="31">
        <f t="shared" si="21"/>
        <v>-1574.2127591020226</v>
      </c>
      <c r="U38" s="31">
        <f t="shared" si="21"/>
        <v>-1574.2127591020226</v>
      </c>
      <c r="V38" s="31">
        <f t="shared" si="21"/>
        <v>-1574.2127591020226</v>
      </c>
      <c r="W38" s="31">
        <f t="shared" si="21"/>
        <v>-1574.2127591020226</v>
      </c>
      <c r="X38" s="31">
        <f t="shared" si="21"/>
        <v>-1574.2127591020226</v>
      </c>
      <c r="Y38" s="31">
        <f t="shared" si="21"/>
        <v>-1574.2127591020226</v>
      </c>
      <c r="Z38" s="31">
        <f t="shared" si="21"/>
        <v>-1574.2127591020226</v>
      </c>
    </row>
    <row r="39" spans="2:26" x14ac:dyDescent="0.25">
      <c r="B39" s="4" t="s">
        <v>102</v>
      </c>
      <c r="C39" s="29" t="s">
        <v>54</v>
      </c>
      <c r="D39" t="s">
        <v>23</v>
      </c>
      <c r="E39" s="26">
        <v>0.1</v>
      </c>
      <c r="F39" t="s">
        <v>19</v>
      </c>
      <c r="J39" t="s">
        <v>113</v>
      </c>
      <c r="K39" s="31">
        <f>$H$30-K35</f>
        <v>35.324622704315715</v>
      </c>
      <c r="L39" s="31">
        <f>$H$30-L35</f>
        <v>36.224622704315664</v>
      </c>
      <c r="M39" s="31">
        <f>$H$30-M35</f>
        <v>36.324622704315658</v>
      </c>
      <c r="N39" s="31">
        <f>$H$30-N35</f>
        <v>36.424622704315652</v>
      </c>
      <c r="O39" s="31">
        <f t="shared" ref="O39:S39" si="22">$H$30-O35</f>
        <v>36.524622704315647</v>
      </c>
      <c r="P39" s="31">
        <f t="shared" si="22"/>
        <v>36.624622704315641</v>
      </c>
      <c r="Q39" s="31">
        <f t="shared" si="22"/>
        <v>36.724622704315635</v>
      </c>
      <c r="R39" s="31">
        <f t="shared" si="22"/>
        <v>36.82462270431563</v>
      </c>
      <c r="S39" s="31">
        <f t="shared" si="22"/>
        <v>36.924622704315624</v>
      </c>
      <c r="T39" s="31">
        <f>$H$30-T35</f>
        <v>37.024622704315618</v>
      </c>
      <c r="U39" s="31">
        <f t="shared" ref="U39:Z39" si="23">$H$30-U35</f>
        <v>37.124622704315613</v>
      </c>
      <c r="V39" s="31">
        <f t="shared" si="23"/>
        <v>37.224622704315607</v>
      </c>
      <c r="W39" s="31">
        <f t="shared" si="23"/>
        <v>37.324622704315601</v>
      </c>
      <c r="X39" s="31">
        <f t="shared" si="23"/>
        <v>37.424622704315595</v>
      </c>
      <c r="Y39" s="31">
        <f t="shared" si="23"/>
        <v>37.52462270431559</v>
      </c>
      <c r="Z39" s="31">
        <f t="shared" si="23"/>
        <v>37.624622704315584</v>
      </c>
    </row>
    <row r="40" spans="2:26" x14ac:dyDescent="0.25">
      <c r="J40" t="s">
        <v>114</v>
      </c>
      <c r="K40" s="31">
        <f>K36*POWER(K41, 3)+K37*POWER(K41, 2)+K38*K41+K39</f>
        <v>1.9056866929645366E-4</v>
      </c>
      <c r="L40" s="31">
        <f>L36*POWER(L41, 3)+L37*POWER(L41, 2)+L38*L41+L39</f>
        <v>2.6283080752875776E-4</v>
      </c>
      <c r="M40" s="31">
        <f>M36*POWER(M41, 3)+M37*POWER(M41, 2)+M38*M41+M39</f>
        <v>2.7214874993575222E-4</v>
      </c>
      <c r="N40" s="31">
        <f>N36*POWER(N41, 3)+N37*POWER(N41, 2)+N38*N41+N39</f>
        <v>2.8174884164400282E-4</v>
      </c>
      <c r="O40" s="31">
        <f t="shared" ref="O40:S40" si="24">O36*POWER(O41, 3)+O37*POWER(O41, 2)+O38*O41+O39</f>
        <v>2.9163812948240775E-4</v>
      </c>
      <c r="P40" s="31">
        <f t="shared" si="24"/>
        <v>3.0182379688881156E-4</v>
      </c>
      <c r="Q40" s="31">
        <f t="shared" si="24"/>
        <v>3.123131657574163E-4</v>
      </c>
      <c r="R40" s="31">
        <f t="shared" si="24"/>
        <v>3.2311369822934921E-4</v>
      </c>
      <c r="S40" s="31">
        <f t="shared" si="24"/>
        <v>3.3423299852586297E-4</v>
      </c>
      <c r="T40" s="31">
        <f>T36*POWER(T41, 3)+T37*POWER(T41, 2)+T38*T41+T39</f>
        <v>3.4567881472469253E-4</v>
      </c>
      <c r="U40" s="31">
        <f t="shared" ref="U40:Z40" si="25">U36*POWER(U41, 3)+U37*POWER(U41, 2)+U38*U41+U39</f>
        <v>3.574590406714151E-4</v>
      </c>
      <c r="V40" s="31">
        <f t="shared" si="25"/>
        <v>3.6958171777712323E-4</v>
      </c>
      <c r="W40" s="31">
        <f t="shared" si="25"/>
        <v>3.8205503688715226E-4</v>
      </c>
      <c r="X40" s="31">
        <f t="shared" si="25"/>
        <v>3.9488734012138593E-4</v>
      </c>
      <c r="Y40" s="31">
        <f t="shared" si="25"/>
        <v>4.0808712279272186E-4</v>
      </c>
      <c r="Z40" s="31">
        <f t="shared" si="25"/>
        <v>4.2166303521895543E-4</v>
      </c>
    </row>
    <row r="41" spans="2:26" x14ac:dyDescent="0.25">
      <c r="J41" t="s">
        <v>131</v>
      </c>
      <c r="K41" s="40">
        <v>2.2314878907240709E-2</v>
      </c>
      <c r="L41" s="40">
        <v>2.2837956051904147E-2</v>
      </c>
      <c r="M41" s="40">
        <v>2.2895847094047402E-2</v>
      </c>
      <c r="N41" s="40">
        <v>2.2953692178089048E-2</v>
      </c>
      <c r="O41" s="40">
        <v>2.3011491243779079E-2</v>
      </c>
      <c r="P41" s="40">
        <v>2.3069244231680039E-2</v>
      </c>
      <c r="Q41" s="40">
        <v>2.3126951083162497E-2</v>
      </c>
      <c r="R41" s="40">
        <v>2.3184611740400533E-2</v>
      </c>
      <c r="S41" s="40">
        <v>2.3242226146367184E-2</v>
      </c>
      <c r="T41" s="40">
        <v>2.3299794244829908E-2</v>
      </c>
      <c r="U41" s="40">
        <v>2.3357315980345988E-2</v>
      </c>
      <c r="V41" s="40">
        <v>2.3414791298257954E-2</v>
      </c>
      <c r="W41" s="40">
        <v>2.3472220144688961E-2</v>
      </c>
      <c r="X41" s="40">
        <v>2.352960246653819E-2</v>
      </c>
      <c r="Y41" s="40">
        <v>2.3586938211476206E-2</v>
      </c>
      <c r="Z41" s="40">
        <v>2.3644227327940311E-2</v>
      </c>
    </row>
    <row r="42" spans="2:26" x14ac:dyDescent="0.25">
      <c r="B42" t="s">
        <v>172</v>
      </c>
      <c r="C42" s="2" t="s">
        <v>173</v>
      </c>
      <c r="D42" t="s">
        <v>23</v>
      </c>
      <c r="E42" s="9">
        <f t="array" ref="E42">MATCH(TRUE, M61:Z61&gt;'1 pompa'!$G$15, 0)</f>
        <v>1</v>
      </c>
      <c r="J42" t="s">
        <v>132</v>
      </c>
      <c r="K42" s="45">
        <f>K41*1000</f>
        <v>22.314878907240711</v>
      </c>
      <c r="L42" s="45">
        <f>L41*1000</f>
        <v>22.837956051904147</v>
      </c>
      <c r="M42" s="45">
        <f t="shared" ref="M42:Z42" si="26">M41*1000</f>
        <v>22.895847094047401</v>
      </c>
      <c r="N42" s="45">
        <f t="shared" si="26"/>
        <v>22.953692178089049</v>
      </c>
      <c r="O42" s="45">
        <f t="shared" si="26"/>
        <v>23.01149124377908</v>
      </c>
      <c r="P42" s="45">
        <f t="shared" si="26"/>
        <v>23.069244231680038</v>
      </c>
      <c r="Q42" s="45">
        <f t="shared" si="26"/>
        <v>23.126951083162499</v>
      </c>
      <c r="R42" s="45">
        <f t="shared" si="26"/>
        <v>23.184611740400534</v>
      </c>
      <c r="S42" s="45">
        <f t="shared" si="26"/>
        <v>23.242226146367184</v>
      </c>
      <c r="T42" s="45">
        <f t="shared" si="26"/>
        <v>23.299794244829908</v>
      </c>
      <c r="U42" s="45">
        <f t="shared" si="26"/>
        <v>23.357315980345987</v>
      </c>
      <c r="V42" s="45">
        <f t="shared" si="26"/>
        <v>23.414791298257953</v>
      </c>
      <c r="W42" s="45">
        <f t="shared" si="26"/>
        <v>23.472220144688961</v>
      </c>
      <c r="X42" s="45">
        <f t="shared" si="26"/>
        <v>23.52960246653819</v>
      </c>
      <c r="Y42" s="45">
        <f t="shared" si="26"/>
        <v>23.586938211476205</v>
      </c>
      <c r="Z42" s="45">
        <f t="shared" si="26"/>
        <v>23.64422732794031</v>
      </c>
    </row>
    <row r="43" spans="2:26" x14ac:dyDescent="0.25">
      <c r="B43" t="s">
        <v>166</v>
      </c>
      <c r="C43" s="2" t="s">
        <v>16</v>
      </c>
      <c r="D43" t="s">
        <v>23</v>
      </c>
      <c r="E43" s="59">
        <f>INDEX(M61:Z61, E42)</f>
        <v>761.55513879769001</v>
      </c>
      <c r="J43" t="s">
        <v>133</v>
      </c>
      <c r="K43" s="45">
        <f>K41*3600</f>
        <v>80.333564066066558</v>
      </c>
      <c r="L43" s="45">
        <f>L41*3600</f>
        <v>82.216641786854936</v>
      </c>
      <c r="M43" s="45">
        <f t="shared" ref="M43:Z43" si="27">M41*3600</f>
        <v>82.425049538570647</v>
      </c>
      <c r="N43" s="45">
        <f t="shared" si="27"/>
        <v>82.633291841120567</v>
      </c>
      <c r="O43" s="45">
        <f t="shared" si="27"/>
        <v>82.841368477604689</v>
      </c>
      <c r="P43" s="45">
        <f t="shared" si="27"/>
        <v>83.049279234048143</v>
      </c>
      <c r="Q43" s="45">
        <f t="shared" si="27"/>
        <v>83.25702389938499</v>
      </c>
      <c r="R43" s="45">
        <f t="shared" si="27"/>
        <v>83.464602265441926</v>
      </c>
      <c r="S43" s="45">
        <f t="shared" si="27"/>
        <v>83.672014126921866</v>
      </c>
      <c r="T43" s="45">
        <f t="shared" si="27"/>
        <v>83.879259281387675</v>
      </c>
      <c r="U43" s="45">
        <f t="shared" si="27"/>
        <v>84.086337529245554</v>
      </c>
      <c r="V43" s="45">
        <f t="shared" si="27"/>
        <v>84.293248673728627</v>
      </c>
      <c r="W43" s="45">
        <f t="shared" si="27"/>
        <v>84.499992520880255</v>
      </c>
      <c r="X43" s="45">
        <f t="shared" si="27"/>
        <v>84.706568879537485</v>
      </c>
      <c r="Y43" s="45">
        <f t="shared" si="27"/>
        <v>84.912977561314349</v>
      </c>
      <c r="Z43" s="45">
        <f t="shared" si="27"/>
        <v>85.119218380585124</v>
      </c>
    </row>
    <row r="44" spans="2:26" x14ac:dyDescent="0.25">
      <c r="B44" t="s">
        <v>164</v>
      </c>
      <c r="C44" s="2" t="s">
        <v>165</v>
      </c>
      <c r="D44" t="s">
        <v>23</v>
      </c>
      <c r="E44" s="44">
        <f>INDEX(M41:Z41,E42)</f>
        <v>2.2895847094047402E-2</v>
      </c>
      <c r="J44" t="s">
        <v>115</v>
      </c>
      <c r="K44" s="5">
        <f>$E$30*POWER(K41, 3)+$F$30*POWER(K41, 2)+$G$30*K41+$H$30</f>
        <v>23.563971933793503</v>
      </c>
      <c r="L44" s="5">
        <f>$E$30*POWER(L41, 3)+$F$30*POWER(L41, 2)+$G$30*L41+$H$30</f>
        <v>23.319233210184727</v>
      </c>
      <c r="M44" s="5">
        <f>$E$30*POWER(M41, 3)+$F$30*POWER(M41, 2)+$G$30*M41+$H$30</f>
        <v>23.292710210664559</v>
      </c>
      <c r="N44" s="5">
        <f>$E$30*POWER(N41, 3)+$F$30*POWER(N41, 2)+$G$30*N41+$H$30</f>
        <v>23.266319324113887</v>
      </c>
      <c r="O44" s="5">
        <f t="shared" ref="O44:S44" si="28">$E$30*POWER(O41, 3)+$F$30*POWER(O41, 2)+$G$30*O41+$H$30</f>
        <v>23.240060027567544</v>
      </c>
      <c r="P44" s="5">
        <f t="shared" si="28"/>
        <v>23.213931798806779</v>
      </c>
      <c r="Q44" s="5">
        <f t="shared" si="28"/>
        <v>23.18793411637018</v>
      </c>
      <c r="R44" s="5">
        <f t="shared" si="28"/>
        <v>23.162066459564457</v>
      </c>
      <c r="S44" s="5">
        <f t="shared" si="28"/>
        <v>23.136328308475093</v>
      </c>
      <c r="T44" s="5">
        <f>$E$30*POWER(T41, 3)+$F$30*POWER(T41, 2)+$G$30*T41+$H$30</f>
        <v>23.110719143976834</v>
      </c>
      <c r="U44" s="5">
        <f t="shared" ref="U44:Z44" si="29">$E$30*POWER(U41, 3)+$F$30*POWER(U41, 2)+$G$30*U41+$H$30</f>
        <v>23.085238447744079</v>
      </c>
      <c r="V44" s="5">
        <f t="shared" si="29"/>
        <v>23.059885702261131</v>
      </c>
      <c r="W44" s="5">
        <f t="shared" si="29"/>
        <v>23.034660390832336</v>
      </c>
      <c r="X44" s="5">
        <f t="shared" si="29"/>
        <v>23.009561997592073</v>
      </c>
      <c r="Y44" s="5">
        <f t="shared" si="29"/>
        <v>22.984590007514548</v>
      </c>
      <c r="Z44" s="5">
        <f t="shared" si="29"/>
        <v>22.959743906423622</v>
      </c>
    </row>
    <row r="45" spans="2:26" x14ac:dyDescent="0.25">
      <c r="E45" s="9">
        <f>E44*3600</f>
        <v>82.425049538570647</v>
      </c>
      <c r="J45" t="s">
        <v>154</v>
      </c>
      <c r="K45" s="5">
        <f>K41/'1 pompa'!$G$35</f>
        <v>2.3493055647987271</v>
      </c>
      <c r="L45" s="5">
        <f>L41/'1 pompa'!$G$35</f>
        <v>2.4043750120444436</v>
      </c>
      <c r="M45" s="5">
        <f>M41/'1 pompa'!$G$35</f>
        <v>2.4104697682841927</v>
      </c>
      <c r="N45" s="5">
        <f>N41/'1 pompa'!$G$35</f>
        <v>2.4165596860650678</v>
      </c>
      <c r="O45" s="5">
        <f>O41/'1 pompa'!$G$35</f>
        <v>2.4226447590439628</v>
      </c>
      <c r="P45" s="5">
        <f>P41/'1 pompa'!$G$35</f>
        <v>2.428724980963314</v>
      </c>
      <c r="Q45" s="5">
        <f>Q41/'1 pompa'!$G$35</f>
        <v>2.4348003456506286</v>
      </c>
      <c r="R45" s="5">
        <f>R41/'1 pompa'!$G$35</f>
        <v>2.4408708470180063</v>
      </c>
      <c r="S45" s="5">
        <f>S41/'1 pompa'!$G$35</f>
        <v>2.4469364790616606</v>
      </c>
      <c r="T45" s="5">
        <f>T41/'1 pompa'!$G$35</f>
        <v>2.4529972358614422</v>
      </c>
      <c r="U45" s="5">
        <f>U41/'1 pompa'!$G$35</f>
        <v>2.4590531115803538</v>
      </c>
      <c r="V45" s="5">
        <f>V41/'1 pompa'!$G$35</f>
        <v>2.4651041004640684</v>
      </c>
      <c r="W45" s="5">
        <f>W41/'1 pompa'!$G$35</f>
        <v>2.4711501968404446</v>
      </c>
      <c r="X45" s="5">
        <f>X41/'1 pompa'!$G$35</f>
        <v>2.4771913951190387</v>
      </c>
      <c r="Y45" s="5">
        <f>Y41/'1 pompa'!$G$35</f>
        <v>2.48322768979062</v>
      </c>
      <c r="Z45" s="5">
        <f>Z41/'1 pompa'!$G$35</f>
        <v>2.4892590754266792</v>
      </c>
    </row>
    <row r="46" spans="2:26" x14ac:dyDescent="0.25">
      <c r="E46" s="9">
        <f>E44*1000</f>
        <v>22.895847094047401</v>
      </c>
      <c r="J46" t="s">
        <v>155</v>
      </c>
      <c r="K46" s="5">
        <f>K41/'1 pompa'!$G$44</f>
        <v>0.87736411524890745</v>
      </c>
      <c r="L46" s="5">
        <f>L41/'1 pompa'!$G$44</f>
        <v>0.89793017425116572</v>
      </c>
      <c r="M46" s="5">
        <f>M41/'1 pompa'!$G$44</f>
        <v>0.90020630235304722</v>
      </c>
      <c r="N46" s="5">
        <f>N41/'1 pompa'!$G$44</f>
        <v>0.90248062349960878</v>
      </c>
      <c r="O46" s="5">
        <f>O41/'1 pompa'!$G$44</f>
        <v>0.90475313532197377</v>
      </c>
      <c r="P46" s="5">
        <f>P41/'1 pompa'!$G$44</f>
        <v>0.90702383548321308</v>
      </c>
      <c r="Q46" s="5">
        <f>Q41/'1 pompa'!$G$44</f>
        <v>0.90929272167816699</v>
      </c>
      <c r="R46" s="5">
        <f>R41/'1 pompa'!$G$44</f>
        <v>0.91155979163326784</v>
      </c>
      <c r="S46" s="5">
        <f>S41/'1 pompa'!$G$44</f>
        <v>0.91382504310636092</v>
      </c>
      <c r="T46" s="5">
        <f>T41/'1 pompa'!$G$44</f>
        <v>0.91608847388652626</v>
      </c>
      <c r="U46" s="5">
        <f>U41/'1 pompa'!$G$44</f>
        <v>0.91835008179389754</v>
      </c>
      <c r="V46" s="5">
        <f>V41/'1 pompa'!$G$44</f>
        <v>0.92060986467948236</v>
      </c>
      <c r="W46" s="5">
        <f>W41/'1 pompa'!$G$44</f>
        <v>0.92286782042498083</v>
      </c>
      <c r="X46" s="5">
        <f>X41/'1 pompa'!$G$44</f>
        <v>0.92512394694260403</v>
      </c>
      <c r="Y46" s="5">
        <f>Y41/'1 pompa'!$G$44</f>
        <v>0.92737824217489218</v>
      </c>
      <c r="Z46" s="5">
        <f>Z41/'1 pompa'!$G$44</f>
        <v>0.92963070409453141</v>
      </c>
    </row>
    <row r="47" spans="2:26" x14ac:dyDescent="0.25">
      <c r="B47" t="s">
        <v>174</v>
      </c>
      <c r="C47" s="2" t="s">
        <v>175</v>
      </c>
      <c r="D47" t="s">
        <v>23</v>
      </c>
      <c r="E47" s="9">
        <f>INDEX(M33:Z33,E42)</f>
        <v>95.741082802547709</v>
      </c>
    </row>
    <row r="48" spans="2:26" x14ac:dyDescent="0.25">
      <c r="J48" t="s">
        <v>116</v>
      </c>
      <c r="K48" s="28"/>
      <c r="L48" s="28"/>
      <c r="M48" s="5">
        <f>(M33-K33)*$E$33</f>
        <v>3.1399999999998216</v>
      </c>
      <c r="N48" s="5">
        <f>(N33-M33)*$E$33</f>
        <v>0.31399999999998218</v>
      </c>
      <c r="O48" s="5">
        <f>(O33-N33)*$E$33</f>
        <v>0.31399999999998218</v>
      </c>
      <c r="P48" s="5">
        <f t="shared" ref="P48:Z48" si="30">(P33-O33)*$E$33</f>
        <v>0.31399999999998218</v>
      </c>
      <c r="Q48" s="5">
        <f t="shared" si="30"/>
        <v>0.31399999999998218</v>
      </c>
      <c r="R48" s="5">
        <f t="shared" si="30"/>
        <v>0.31399999999998218</v>
      </c>
      <c r="S48" s="5">
        <f t="shared" si="30"/>
        <v>0.31399999999998218</v>
      </c>
      <c r="T48" s="5">
        <f t="shared" si="30"/>
        <v>0.31399999999998218</v>
      </c>
      <c r="U48" s="5">
        <f t="shared" si="30"/>
        <v>0.31399999999998218</v>
      </c>
      <c r="V48" s="5">
        <f t="shared" si="30"/>
        <v>0.31399999999998218</v>
      </c>
      <c r="W48" s="5">
        <f t="shared" si="30"/>
        <v>0.31399999999998218</v>
      </c>
      <c r="X48" s="5">
        <f t="shared" si="30"/>
        <v>0.31399999999998218</v>
      </c>
      <c r="Y48" s="5">
        <f t="shared" si="30"/>
        <v>0.31399999999998218</v>
      </c>
      <c r="Z48" s="5">
        <f t="shared" si="30"/>
        <v>0.31399999999998218</v>
      </c>
    </row>
    <row r="49" spans="2:26" x14ac:dyDescent="0.25">
      <c r="J49" t="s">
        <v>117</v>
      </c>
      <c r="M49" s="36">
        <f>AVERAGEA(M41,K41)</f>
        <v>2.2605363000644058E-2</v>
      </c>
      <c r="N49" s="36">
        <f t="shared" ref="N49:Z49" si="31">AVERAGEA(N41,M41)</f>
        <v>2.2924769636068223E-2</v>
      </c>
      <c r="O49" s="36">
        <f t="shared" si="31"/>
        <v>2.2982591710934065E-2</v>
      </c>
      <c r="P49" s="36">
        <f t="shared" si="31"/>
        <v>2.3040367737729557E-2</v>
      </c>
      <c r="Q49" s="36">
        <f t="shared" si="31"/>
        <v>2.3098097657421268E-2</v>
      </c>
      <c r="R49" s="36">
        <f t="shared" si="31"/>
        <v>2.3155781411781515E-2</v>
      </c>
      <c r="S49" s="36">
        <f t="shared" si="31"/>
        <v>2.3213418943383857E-2</v>
      </c>
      <c r="T49" s="36">
        <f t="shared" si="31"/>
        <v>2.3271010195598546E-2</v>
      </c>
      <c r="U49" s="36">
        <f t="shared" si="31"/>
        <v>2.3328555112587947E-2</v>
      </c>
      <c r="V49" s="36">
        <f t="shared" si="31"/>
        <v>2.3386053639301969E-2</v>
      </c>
      <c r="W49" s="36">
        <f t="shared" si="31"/>
        <v>2.3443505721473457E-2</v>
      </c>
      <c r="X49" s="36">
        <f t="shared" si="31"/>
        <v>2.3500911305613575E-2</v>
      </c>
      <c r="Y49" s="36">
        <f t="shared" si="31"/>
        <v>2.3558270339007197E-2</v>
      </c>
      <c r="Z49" s="36">
        <f t="shared" si="31"/>
        <v>2.3615582769708258E-2</v>
      </c>
    </row>
    <row r="50" spans="2:26" x14ac:dyDescent="0.25">
      <c r="B50" t="s">
        <v>178</v>
      </c>
      <c r="C50" s="2" t="s">
        <v>179</v>
      </c>
      <c r="D50" t="s">
        <v>23</v>
      </c>
      <c r="E50" s="44">
        <f>MAX('1 pompa'!$I$18, '1 pompa'!$E$88)</f>
        <v>1.71802223835694E-2</v>
      </c>
      <c r="J50" t="s">
        <v>118</v>
      </c>
      <c r="M50" s="5">
        <f t="shared" ref="M50:Z50" si="32">M48/M49</f>
        <v>138.9050907924088</v>
      </c>
      <c r="N50" s="5">
        <f t="shared" si="32"/>
        <v>13.696975148921743</v>
      </c>
      <c r="O50" s="5">
        <f t="shared" si="32"/>
        <v>13.662514826410781</v>
      </c>
      <c r="P50" s="5">
        <f t="shared" si="32"/>
        <v>13.628254703842863</v>
      </c>
      <c r="Q50" s="5">
        <f t="shared" si="32"/>
        <v>13.59419310876002</v>
      </c>
      <c r="R50" s="5">
        <f t="shared" si="32"/>
        <v>13.560328386941023</v>
      </c>
      <c r="S50" s="5">
        <f t="shared" si="32"/>
        <v>13.526658902155233</v>
      </c>
      <c r="T50" s="5">
        <f t="shared" si="32"/>
        <v>13.493183035920453</v>
      </c>
      <c r="U50" s="5">
        <f t="shared" si="32"/>
        <v>13.459899187264696</v>
      </c>
      <c r="V50" s="5">
        <f t="shared" si="32"/>
        <v>13.426805772491784</v>
      </c>
      <c r="W50" s="5">
        <f t="shared" si="32"/>
        <v>13.393901224950705</v>
      </c>
      <c r="X50" s="5">
        <f t="shared" si="32"/>
        <v>13.361183994808668</v>
      </c>
      <c r="Y50" s="5">
        <f t="shared" si="32"/>
        <v>13.328652548827781</v>
      </c>
      <c r="Z50" s="5">
        <f t="shared" si="32"/>
        <v>13.296305370145276</v>
      </c>
    </row>
    <row r="51" spans="2:26" x14ac:dyDescent="0.25">
      <c r="B51" t="s">
        <v>180</v>
      </c>
      <c r="C51" s="2" t="s">
        <v>171</v>
      </c>
      <c r="D51" t="s">
        <v>23</v>
      </c>
      <c r="E51" s="44">
        <f>'1 pompa'!$I$19</f>
        <v>2.2200000000000001E-2</v>
      </c>
      <c r="J51" t="s">
        <v>120</v>
      </c>
      <c r="M51" s="5">
        <f>M48+K51</f>
        <v>3.1399999999998216</v>
      </c>
      <c r="N51" s="5">
        <f t="shared" ref="N51:Z51" si="33">N48+M51</f>
        <v>3.4539999999998039</v>
      </c>
      <c r="O51" s="5">
        <f t="shared" si="33"/>
        <v>3.7679999999997862</v>
      </c>
      <c r="P51" s="5">
        <f t="shared" si="33"/>
        <v>4.081999999999768</v>
      </c>
      <c r="Q51" s="5">
        <f t="shared" si="33"/>
        <v>4.3959999999997503</v>
      </c>
      <c r="R51" s="5">
        <f t="shared" si="33"/>
        <v>4.7099999999997326</v>
      </c>
      <c r="S51" s="5">
        <f t="shared" si="33"/>
        <v>5.0239999999997149</v>
      </c>
      <c r="T51" s="5">
        <f t="shared" si="33"/>
        <v>5.3379999999996972</v>
      </c>
      <c r="U51" s="5">
        <f t="shared" si="33"/>
        <v>5.6519999999996795</v>
      </c>
      <c r="V51" s="5">
        <f t="shared" si="33"/>
        <v>5.9659999999996618</v>
      </c>
      <c r="W51" s="5">
        <f t="shared" si="33"/>
        <v>6.2799999999996441</v>
      </c>
      <c r="X51" s="5">
        <f t="shared" si="33"/>
        <v>6.5939999999996264</v>
      </c>
      <c r="Y51" s="5">
        <f t="shared" si="33"/>
        <v>6.9079999999996087</v>
      </c>
      <c r="Z51" s="5">
        <f t="shared" si="33"/>
        <v>7.221999999999591</v>
      </c>
    </row>
    <row r="52" spans="2:26" x14ac:dyDescent="0.25">
      <c r="J52" t="s">
        <v>119</v>
      </c>
      <c r="M52" s="5">
        <f>M50+K52</f>
        <v>138.9050907924088</v>
      </c>
      <c r="N52" s="5">
        <f t="shared" ref="N52:Z52" si="34">N50+M52</f>
        <v>152.60206594133055</v>
      </c>
      <c r="O52" s="5">
        <f t="shared" si="34"/>
        <v>166.26458076774134</v>
      </c>
      <c r="P52" s="5">
        <f t="shared" si="34"/>
        <v>179.89283547158419</v>
      </c>
      <c r="Q52" s="5">
        <f t="shared" si="34"/>
        <v>193.4870285803442</v>
      </c>
      <c r="R52" s="5">
        <f t="shared" si="34"/>
        <v>207.04735696728522</v>
      </c>
      <c r="S52" s="5">
        <f t="shared" si="34"/>
        <v>220.57401586944047</v>
      </c>
      <c r="T52" s="5">
        <f t="shared" si="34"/>
        <v>234.06719890536093</v>
      </c>
      <c r="U52" s="5">
        <f t="shared" si="34"/>
        <v>247.52709809262564</v>
      </c>
      <c r="V52" s="5">
        <f t="shared" si="34"/>
        <v>260.95390386511741</v>
      </c>
      <c r="W52" s="5">
        <f t="shared" si="34"/>
        <v>274.34780509006811</v>
      </c>
      <c r="X52" s="5">
        <f t="shared" si="34"/>
        <v>287.70898908487675</v>
      </c>
      <c r="Y52" s="5">
        <f t="shared" si="34"/>
        <v>301.03764163370454</v>
      </c>
      <c r="Z52" s="5">
        <f t="shared" si="34"/>
        <v>314.3339470038498</v>
      </c>
    </row>
    <row r="53" spans="2:26" x14ac:dyDescent="0.25">
      <c r="J53" t="s">
        <v>176</v>
      </c>
      <c r="M53" s="36">
        <f>M51/M52</f>
        <v>2.2605363000644058E-2</v>
      </c>
      <c r="N53" s="36">
        <f t="shared" ref="N53:Z53" si="35">N51/N52</f>
        <v>2.2634031713094437E-2</v>
      </c>
      <c r="O53" s="36">
        <f t="shared" si="35"/>
        <v>2.2662674050003401E-2</v>
      </c>
      <c r="P53" s="36">
        <f t="shared" si="35"/>
        <v>2.2691287228304095E-2</v>
      </c>
      <c r="Q53" s="36">
        <f t="shared" si="35"/>
        <v>2.2719869296945354E-2</v>
      </c>
      <c r="R53" s="36">
        <f t="shared" si="35"/>
        <v>2.2748418859285136E-2</v>
      </c>
      <c r="S53" s="36">
        <f t="shared" si="35"/>
        <v>2.2776934899591532E-2</v>
      </c>
      <c r="T53" s="36">
        <f t="shared" si="35"/>
        <v>2.2805416670782567E-2</v>
      </c>
      <c r="U53" s="36">
        <f t="shared" si="35"/>
        <v>2.283386361958915E-2</v>
      </c>
      <c r="V53" s="36">
        <f t="shared" si="35"/>
        <v>2.2862275335353423E-2</v>
      </c>
      <c r="W53" s="36">
        <f t="shared" si="35"/>
        <v>2.2890651514189904E-2</v>
      </c>
      <c r="X53" s="36">
        <f t="shared" si="35"/>
        <v>2.2918991933388418E-2</v>
      </c>
      <c r="Y53" s="36">
        <f t="shared" si="35"/>
        <v>2.294729643279992E-2</v>
      </c>
      <c r="Z53" s="36">
        <f t="shared" si="35"/>
        <v>2.2975564901079996E-2</v>
      </c>
    </row>
    <row r="54" spans="2:26" x14ac:dyDescent="0.25">
      <c r="J54" t="s">
        <v>121</v>
      </c>
      <c r="M54" s="5">
        <f>3600*M53</f>
        <v>81.379306802318609</v>
      </c>
      <c r="N54" s="5">
        <f t="shared" ref="N54:Z54" si="36">3600*N53</f>
        <v>81.482514167139968</v>
      </c>
      <c r="O54" s="5">
        <f t="shared" si="36"/>
        <v>81.585626580012246</v>
      </c>
      <c r="P54" s="5">
        <f t="shared" si="36"/>
        <v>81.688634021894742</v>
      </c>
      <c r="Q54" s="5">
        <f t="shared" si="36"/>
        <v>81.791529469003279</v>
      </c>
      <c r="R54" s="5">
        <f t="shared" si="36"/>
        <v>81.894307893426486</v>
      </c>
      <c r="S54" s="5">
        <f t="shared" si="36"/>
        <v>81.996965638529517</v>
      </c>
      <c r="T54" s="5">
        <f t="shared" si="36"/>
        <v>82.099500014817238</v>
      </c>
      <c r="U54" s="5">
        <f t="shared" si="36"/>
        <v>82.201909030520937</v>
      </c>
      <c r="V54" s="5">
        <f t="shared" si="36"/>
        <v>82.304191207272325</v>
      </c>
      <c r="W54" s="5">
        <f t="shared" si="36"/>
        <v>82.406345451083652</v>
      </c>
      <c r="X54" s="5">
        <f t="shared" si="36"/>
        <v>82.508370960198306</v>
      </c>
      <c r="Y54" s="5">
        <f t="shared" si="36"/>
        <v>82.610267158079708</v>
      </c>
      <c r="Z54" s="5">
        <f t="shared" si="36"/>
        <v>82.712033643887992</v>
      </c>
    </row>
    <row r="55" spans="2:26" x14ac:dyDescent="0.25">
      <c r="J55" t="s">
        <v>177</v>
      </c>
      <c r="M55" s="36">
        <f>IF((M53/2)&lt;$E$50, $E$50, IF((M53/2)&gt;$E$51, $E$51, M53/2))</f>
        <v>1.71802223835694E-2</v>
      </c>
      <c r="N55" s="36">
        <f t="shared" ref="N55:Z55" si="37">IF((N53/2)&lt;$E$50, $E$50, IF((N53/2)&gt;$E$51, $E$51, N53/2))</f>
        <v>1.71802223835694E-2</v>
      </c>
      <c r="O55" s="36">
        <f t="shared" si="37"/>
        <v>1.71802223835694E-2</v>
      </c>
      <c r="P55" s="36">
        <f t="shared" si="37"/>
        <v>1.71802223835694E-2</v>
      </c>
      <c r="Q55" s="36">
        <f t="shared" si="37"/>
        <v>1.71802223835694E-2</v>
      </c>
      <c r="R55" s="36">
        <f t="shared" si="37"/>
        <v>1.71802223835694E-2</v>
      </c>
      <c r="S55" s="36">
        <f t="shared" si="37"/>
        <v>1.71802223835694E-2</v>
      </c>
      <c r="T55" s="36">
        <f t="shared" si="37"/>
        <v>1.71802223835694E-2</v>
      </c>
      <c r="U55" s="36">
        <f t="shared" si="37"/>
        <v>1.71802223835694E-2</v>
      </c>
      <c r="V55" s="36">
        <f t="shared" si="37"/>
        <v>1.71802223835694E-2</v>
      </c>
      <c r="W55" s="36">
        <f t="shared" si="37"/>
        <v>1.71802223835694E-2</v>
      </c>
      <c r="X55" s="36">
        <f t="shared" si="37"/>
        <v>1.71802223835694E-2</v>
      </c>
      <c r="Y55" s="36">
        <f t="shared" si="37"/>
        <v>1.71802223835694E-2</v>
      </c>
      <c r="Z55" s="36">
        <f t="shared" si="37"/>
        <v>1.71802223835694E-2</v>
      </c>
    </row>
    <row r="56" spans="2:26" x14ac:dyDescent="0.25">
      <c r="J56" t="s">
        <v>124</v>
      </c>
      <c r="M56" s="5">
        <f>M55*3600</f>
        <v>61.84880058084984</v>
      </c>
      <c r="N56" s="5">
        <f t="shared" ref="N56:Z56" si="38">N55*3600</f>
        <v>61.84880058084984</v>
      </c>
      <c r="O56" s="5">
        <f t="shared" si="38"/>
        <v>61.84880058084984</v>
      </c>
      <c r="P56" s="5">
        <f t="shared" si="38"/>
        <v>61.84880058084984</v>
      </c>
      <c r="Q56" s="5">
        <f t="shared" si="38"/>
        <v>61.84880058084984</v>
      </c>
      <c r="R56" s="5">
        <f t="shared" si="38"/>
        <v>61.84880058084984</v>
      </c>
      <c r="S56" s="5">
        <f t="shared" si="38"/>
        <v>61.84880058084984</v>
      </c>
      <c r="T56" s="5">
        <f t="shared" si="38"/>
        <v>61.84880058084984</v>
      </c>
      <c r="U56" s="5">
        <f t="shared" si="38"/>
        <v>61.84880058084984</v>
      </c>
      <c r="V56" s="5">
        <f t="shared" si="38"/>
        <v>61.84880058084984</v>
      </c>
      <c r="W56" s="5">
        <f t="shared" si="38"/>
        <v>61.84880058084984</v>
      </c>
      <c r="X56" s="5">
        <f t="shared" si="38"/>
        <v>61.84880058084984</v>
      </c>
      <c r="Y56" s="5">
        <f t="shared" si="38"/>
        <v>61.84880058084984</v>
      </c>
      <c r="Z56" s="5">
        <f t="shared" si="38"/>
        <v>61.84880058084984</v>
      </c>
    </row>
    <row r="57" spans="2:26" x14ac:dyDescent="0.25">
      <c r="J57" t="s">
        <v>152</v>
      </c>
      <c r="M57" s="5">
        <f>M55*1000</f>
        <v>17.180222383569401</v>
      </c>
      <c r="N57" s="5">
        <f t="shared" ref="N57:Z57" si="39">N55*1000</f>
        <v>17.180222383569401</v>
      </c>
      <c r="O57" s="5">
        <f t="shared" si="39"/>
        <v>17.180222383569401</v>
      </c>
      <c r="P57" s="5">
        <f t="shared" si="39"/>
        <v>17.180222383569401</v>
      </c>
      <c r="Q57" s="5">
        <f t="shared" si="39"/>
        <v>17.180222383569401</v>
      </c>
      <c r="R57" s="5">
        <f t="shared" si="39"/>
        <v>17.180222383569401</v>
      </c>
      <c r="S57" s="5">
        <f t="shared" si="39"/>
        <v>17.180222383569401</v>
      </c>
      <c r="T57" s="5">
        <f t="shared" si="39"/>
        <v>17.180222383569401</v>
      </c>
      <c r="U57" s="5">
        <f t="shared" si="39"/>
        <v>17.180222383569401</v>
      </c>
      <c r="V57" s="5">
        <f t="shared" si="39"/>
        <v>17.180222383569401</v>
      </c>
      <c r="W57" s="5">
        <f t="shared" si="39"/>
        <v>17.180222383569401</v>
      </c>
      <c r="X57" s="5">
        <f t="shared" si="39"/>
        <v>17.180222383569401</v>
      </c>
      <c r="Y57" s="5">
        <f t="shared" si="39"/>
        <v>17.180222383569401</v>
      </c>
      <c r="Z57" s="5">
        <f t="shared" si="39"/>
        <v>17.180222383569401</v>
      </c>
    </row>
    <row r="58" spans="2:26" x14ac:dyDescent="0.25">
      <c r="J58" t="s">
        <v>125</v>
      </c>
      <c r="M58" s="5">
        <f>M54-M56</f>
        <v>19.530506221468769</v>
      </c>
      <c r="N58" s="5">
        <f t="shared" ref="N58:Z58" si="40">N54-N56</f>
        <v>19.633713586290128</v>
      </c>
      <c r="O58" s="5">
        <f t="shared" si="40"/>
        <v>19.736825999162406</v>
      </c>
      <c r="P58" s="5">
        <f t="shared" si="40"/>
        <v>19.839833441044902</v>
      </c>
      <c r="Q58" s="5">
        <f t="shared" si="40"/>
        <v>19.942728888153439</v>
      </c>
      <c r="R58" s="5">
        <f t="shared" si="40"/>
        <v>20.045507312576646</v>
      </c>
      <c r="S58" s="5">
        <f t="shared" si="40"/>
        <v>20.148165057679677</v>
      </c>
      <c r="T58" s="5">
        <f t="shared" si="40"/>
        <v>20.250699433967398</v>
      </c>
      <c r="U58" s="5">
        <f t="shared" si="40"/>
        <v>20.353108449671097</v>
      </c>
      <c r="V58" s="5">
        <f t="shared" si="40"/>
        <v>20.455390626422485</v>
      </c>
      <c r="W58" s="5">
        <f t="shared" si="40"/>
        <v>20.557544870233812</v>
      </c>
      <c r="X58" s="5">
        <f t="shared" si="40"/>
        <v>20.659570379348466</v>
      </c>
      <c r="Y58" s="5">
        <f t="shared" si="40"/>
        <v>20.761466577229868</v>
      </c>
      <c r="Z58" s="5">
        <f t="shared" si="40"/>
        <v>20.863233063038152</v>
      </c>
    </row>
    <row r="59" spans="2:26" x14ac:dyDescent="0.25">
      <c r="J59" t="s">
        <v>127</v>
      </c>
      <c r="M59" s="37">
        <f>M$51/(M56/3600)</f>
        <v>182.76829774932449</v>
      </c>
      <c r="N59" s="37">
        <f t="shared" ref="N59:Z59" si="41">N$51/(N56/3600)</f>
        <v>201.04512752425697</v>
      </c>
      <c r="O59" s="37">
        <f t="shared" si="41"/>
        <v>219.32195729918942</v>
      </c>
      <c r="P59" s="37">
        <f t="shared" si="41"/>
        <v>237.59878707412184</v>
      </c>
      <c r="Q59" s="37">
        <f t="shared" si="41"/>
        <v>255.8756168490543</v>
      </c>
      <c r="R59" s="37">
        <f t="shared" si="41"/>
        <v>274.15244662398675</v>
      </c>
      <c r="S59" s="37">
        <f t="shared" si="41"/>
        <v>292.42927639891923</v>
      </c>
      <c r="T59" s="37">
        <f t="shared" si="41"/>
        <v>310.70610617385165</v>
      </c>
      <c r="U59" s="37">
        <f t="shared" si="41"/>
        <v>328.98293594878413</v>
      </c>
      <c r="V59" s="37">
        <f t="shared" si="41"/>
        <v>347.25976572371661</v>
      </c>
      <c r="W59" s="37">
        <f t="shared" si="41"/>
        <v>365.53659549864904</v>
      </c>
      <c r="X59" s="37">
        <f t="shared" si="41"/>
        <v>383.81342527358152</v>
      </c>
      <c r="Y59" s="37">
        <f t="shared" si="41"/>
        <v>402.09025504851394</v>
      </c>
      <c r="Z59" s="37">
        <f t="shared" si="41"/>
        <v>420.36708482344642</v>
      </c>
    </row>
    <row r="60" spans="2:26" x14ac:dyDescent="0.25">
      <c r="J60" t="s">
        <v>128</v>
      </c>
      <c r="M60" s="37">
        <f>M$51/(M58/3600)</f>
        <v>578.78684104836555</v>
      </c>
      <c r="N60" s="37">
        <f t="shared" ref="N60:Z60" si="42">N$51/(N58/3600)</f>
        <v>633.31880366646556</v>
      </c>
      <c r="O60" s="37">
        <f t="shared" si="42"/>
        <v>687.28376085267689</v>
      </c>
      <c r="P60" s="37">
        <f t="shared" si="42"/>
        <v>740.69170205822127</v>
      </c>
      <c r="Q60" s="37">
        <f t="shared" si="42"/>
        <v>793.55238135940203</v>
      </c>
      <c r="R60" s="37">
        <f t="shared" si="42"/>
        <v>845.87532436062429</v>
      </c>
      <c r="S60" s="37">
        <f t="shared" si="42"/>
        <v>897.66983485700405</v>
      </c>
      <c r="T60" s="37">
        <f t="shared" si="42"/>
        <v>948.94500126576941</v>
      </c>
      <c r="U60" s="37">
        <f t="shared" si="42"/>
        <v>999.70970283547297</v>
      </c>
      <c r="V60" s="37">
        <f t="shared" si="42"/>
        <v>1049.9726156417612</v>
      </c>
      <c r="W60" s="37">
        <f t="shared" si="42"/>
        <v>1099.7422183781221</v>
      </c>
      <c r="X60" s="37">
        <f t="shared" si="42"/>
        <v>1149.0267979496718</v>
      </c>
      <c r="Y60" s="37">
        <f t="shared" si="42"/>
        <v>1197.8344548777418</v>
      </c>
      <c r="Z60" s="37">
        <f t="shared" si="42"/>
        <v>1246.1731085226377</v>
      </c>
    </row>
    <row r="61" spans="2:26" x14ac:dyDescent="0.25">
      <c r="J61" t="s">
        <v>126</v>
      </c>
      <c r="M61" s="37">
        <f>M59+M60</f>
        <v>761.55513879769001</v>
      </c>
      <c r="N61" s="37">
        <f t="shared" ref="N61:Z61" si="43">N59+N60</f>
        <v>834.3639311907225</v>
      </c>
      <c r="O61" s="37">
        <f t="shared" si="43"/>
        <v>906.60571815186631</v>
      </c>
      <c r="P61" s="37">
        <f t="shared" si="43"/>
        <v>978.29048913234305</v>
      </c>
      <c r="Q61" s="37">
        <f t="shared" si="43"/>
        <v>1049.4279982084563</v>
      </c>
      <c r="R61" s="37">
        <f t="shared" si="43"/>
        <v>1120.0277709846109</v>
      </c>
      <c r="S61" s="37">
        <f t="shared" si="43"/>
        <v>1190.0991112559232</v>
      </c>
      <c r="T61" s="37">
        <f t="shared" si="43"/>
        <v>1259.651107439621</v>
      </c>
      <c r="U61" s="37">
        <f t="shared" si="43"/>
        <v>1328.692638784257</v>
      </c>
      <c r="V61" s="37">
        <f t="shared" si="43"/>
        <v>1397.2323813654777</v>
      </c>
      <c r="W61" s="37">
        <f t="shared" si="43"/>
        <v>1465.278813876771</v>
      </c>
      <c r="X61" s="37">
        <f t="shared" si="43"/>
        <v>1532.8402232232534</v>
      </c>
      <c r="Y61" s="37">
        <f t="shared" si="43"/>
        <v>1599.9247099262557</v>
      </c>
      <c r="Z61" s="37">
        <f t="shared" si="43"/>
        <v>1666.5401933460842</v>
      </c>
    </row>
    <row r="63" spans="2:26" x14ac:dyDescent="0.25">
      <c r="J63" t="s">
        <v>129</v>
      </c>
      <c r="M63" s="28">
        <f>$M$49*3600</f>
        <v>81.379306802318609</v>
      </c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2:26" x14ac:dyDescent="0.25">
      <c r="J64" t="s">
        <v>125</v>
      </c>
      <c r="M64" s="28">
        <f>M63-$M56</f>
        <v>19.530506221468769</v>
      </c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0:26" x14ac:dyDescent="0.25">
      <c r="J65" t="s">
        <v>128</v>
      </c>
      <c r="M65" s="28">
        <f>$M$48/(M64/3600)</f>
        <v>578.78684104836555</v>
      </c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0:26" x14ac:dyDescent="0.25">
      <c r="J66" t="s">
        <v>130</v>
      </c>
      <c r="M66" s="28">
        <f>K66+M65</f>
        <v>578.78684104836555</v>
      </c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8" spans="10:26" x14ac:dyDescent="0.25">
      <c r="J68" t="s">
        <v>129</v>
      </c>
      <c r="M68" s="28">
        <f>M$49*3600</f>
        <v>81.379306802318609</v>
      </c>
      <c r="N68" s="28">
        <f t="shared" ref="N68" si="44">N$49*3600</f>
        <v>82.5291706898456</v>
      </c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0:26" x14ac:dyDescent="0.25">
      <c r="J69" t="s">
        <v>125</v>
      </c>
      <c r="M69" s="28">
        <f>M68-$N$56</f>
        <v>19.530506221468769</v>
      </c>
      <c r="N69" s="28">
        <f t="shared" ref="N69" si="45">N68-$N$56</f>
        <v>20.68037010899576</v>
      </c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0:26" x14ac:dyDescent="0.25">
      <c r="J70" t="s">
        <v>128</v>
      </c>
      <c r="M70" s="28">
        <f>M$48/(M69/3600)</f>
        <v>578.78684104836555</v>
      </c>
      <c r="N70" s="28">
        <f t="shared" ref="N70" si="46">N$48/(N69/3600)</f>
        <v>54.660530447094025</v>
      </c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0:26" x14ac:dyDescent="0.25">
      <c r="J71" t="s">
        <v>130</v>
      </c>
      <c r="M71" s="28">
        <f>K71+M70</f>
        <v>578.78684104836555</v>
      </c>
      <c r="N71" s="28">
        <f t="shared" ref="N71" si="47">M71+N70</f>
        <v>633.44737149545961</v>
      </c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3" spans="10:26" x14ac:dyDescent="0.25">
      <c r="J73" t="s">
        <v>129</v>
      </c>
      <c r="M73" s="28">
        <f t="shared" ref="M73:U103" si="48">M$49*3600</f>
        <v>81.379306802318609</v>
      </c>
      <c r="N73" s="28">
        <f t="shared" si="48"/>
        <v>82.5291706898456</v>
      </c>
      <c r="O73" s="28">
        <f t="shared" si="48"/>
        <v>82.737330159362628</v>
      </c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0:26" x14ac:dyDescent="0.25">
      <c r="J74" t="s">
        <v>125</v>
      </c>
      <c r="M74" s="28">
        <f>M73-$O$56</f>
        <v>19.530506221468769</v>
      </c>
      <c r="N74" s="28">
        <f t="shared" ref="N74:O74" si="49">N73-$O$56</f>
        <v>20.68037010899576</v>
      </c>
      <c r="O74" s="28">
        <f t="shared" si="49"/>
        <v>20.888529578512788</v>
      </c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0:26" x14ac:dyDescent="0.25">
      <c r="J75" t="s">
        <v>128</v>
      </c>
      <c r="M75" s="28">
        <f t="shared" ref="M75:O75" si="50">M$48/(M74/3600)</f>
        <v>578.78684104836555</v>
      </c>
      <c r="N75" s="28">
        <f t="shared" si="50"/>
        <v>54.660530447094025</v>
      </c>
      <c r="O75" s="28">
        <f t="shared" si="50"/>
        <v>54.115824464864872</v>
      </c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0:26" x14ac:dyDescent="0.25">
      <c r="J76" t="s">
        <v>130</v>
      </c>
      <c r="M76" s="28">
        <f>K76+M75</f>
        <v>578.78684104836555</v>
      </c>
      <c r="N76" s="28">
        <f t="shared" ref="N76:O76" si="51">M76+N75</f>
        <v>633.44737149545961</v>
      </c>
      <c r="O76" s="28">
        <f t="shared" si="51"/>
        <v>687.56319596032449</v>
      </c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8" spans="10:26" x14ac:dyDescent="0.25">
      <c r="J78" t="s">
        <v>129</v>
      </c>
      <c r="M78" s="28">
        <f t="shared" ref="M78" si="52">M$49*3600</f>
        <v>81.379306802318609</v>
      </c>
      <c r="N78" s="28">
        <f t="shared" si="48"/>
        <v>82.5291706898456</v>
      </c>
      <c r="O78" s="28">
        <f t="shared" si="48"/>
        <v>82.737330159362628</v>
      </c>
      <c r="P78" s="28">
        <f t="shared" si="48"/>
        <v>82.945323855826402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0:26" x14ac:dyDescent="0.25">
      <c r="J79" t="s">
        <v>125</v>
      </c>
      <c r="M79" s="28">
        <f>M78-$P$56</f>
        <v>19.530506221468769</v>
      </c>
      <c r="N79" s="28">
        <f t="shared" ref="N79:P79" si="53">N78-$P$56</f>
        <v>20.68037010899576</v>
      </c>
      <c r="O79" s="28">
        <f t="shared" si="53"/>
        <v>20.888529578512788</v>
      </c>
      <c r="P79" s="28">
        <f t="shared" si="53"/>
        <v>21.096523274976562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0:26" x14ac:dyDescent="0.25">
      <c r="J80" t="s">
        <v>128</v>
      </c>
      <c r="M80" s="28">
        <f t="shared" ref="M80:P80" si="54">M$48/(M79/3600)</f>
        <v>578.78684104836555</v>
      </c>
      <c r="N80" s="28">
        <f t="shared" si="54"/>
        <v>54.660530447094025</v>
      </c>
      <c r="O80" s="28">
        <f t="shared" si="54"/>
        <v>54.115824464864872</v>
      </c>
      <c r="P80" s="28">
        <f t="shared" si="54"/>
        <v>53.582288667476739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0:26" x14ac:dyDescent="0.25">
      <c r="J81" t="s">
        <v>130</v>
      </c>
      <c r="M81" s="28">
        <f>K81+M80</f>
        <v>578.78684104836555</v>
      </c>
      <c r="N81" s="28">
        <f t="shared" ref="N81:P81" si="55">M81+N80</f>
        <v>633.44737149545961</v>
      </c>
      <c r="O81" s="28">
        <f t="shared" si="55"/>
        <v>687.56319596032449</v>
      </c>
      <c r="P81" s="28">
        <f t="shared" si="55"/>
        <v>741.14548462780124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3" spans="10:26" x14ac:dyDescent="0.25">
      <c r="J83" t="s">
        <v>129</v>
      </c>
      <c r="M83" s="28">
        <f t="shared" ref="M83" si="56">M$49*3600</f>
        <v>81.379306802318609</v>
      </c>
      <c r="N83" s="28">
        <f t="shared" si="48"/>
        <v>82.5291706898456</v>
      </c>
      <c r="O83" s="28">
        <f t="shared" si="48"/>
        <v>82.737330159362628</v>
      </c>
      <c r="P83" s="28">
        <f t="shared" si="48"/>
        <v>82.945323855826402</v>
      </c>
      <c r="Q83" s="28">
        <f t="shared" si="48"/>
        <v>83.153151566716559</v>
      </c>
      <c r="R83" s="28"/>
      <c r="S83" s="28"/>
      <c r="T83" s="28"/>
      <c r="U83" s="28"/>
      <c r="V83" s="28"/>
      <c r="W83" s="28"/>
      <c r="X83" s="28"/>
      <c r="Y83" s="28"/>
      <c r="Z83" s="28"/>
    </row>
    <row r="84" spans="10:26" x14ac:dyDescent="0.25">
      <c r="J84" t="s">
        <v>125</v>
      </c>
      <c r="M84" s="28">
        <f>M83-$Q$56</f>
        <v>19.530506221468769</v>
      </c>
      <c r="N84" s="28">
        <f t="shared" ref="N84:Q84" si="57">N83-$Q$56</f>
        <v>20.68037010899576</v>
      </c>
      <c r="O84" s="28">
        <f t="shared" si="57"/>
        <v>20.888529578512788</v>
      </c>
      <c r="P84" s="28">
        <f t="shared" si="57"/>
        <v>21.096523274976562</v>
      </c>
      <c r="Q84" s="28">
        <f t="shared" si="57"/>
        <v>21.304350985866719</v>
      </c>
      <c r="R84" s="28"/>
      <c r="S84" s="28"/>
      <c r="T84" s="28"/>
      <c r="U84" s="28"/>
      <c r="V84" s="28"/>
      <c r="W84" s="28"/>
      <c r="X84" s="28"/>
      <c r="Y84" s="28"/>
      <c r="Z84" s="28"/>
    </row>
    <row r="85" spans="10:26" x14ac:dyDescent="0.25">
      <c r="J85" t="s">
        <v>128</v>
      </c>
      <c r="M85" s="28">
        <f t="shared" ref="M85:Q85" si="58">M$48/(M84/3600)</f>
        <v>578.78684104836555</v>
      </c>
      <c r="N85" s="28">
        <f t="shared" si="58"/>
        <v>54.660530447094025</v>
      </c>
      <c r="O85" s="28">
        <f t="shared" si="58"/>
        <v>54.115824464864872</v>
      </c>
      <c r="P85" s="28">
        <f t="shared" si="58"/>
        <v>53.582288667476739</v>
      </c>
      <c r="Q85" s="28">
        <f t="shared" si="58"/>
        <v>53.059583967136192</v>
      </c>
      <c r="R85" s="28"/>
      <c r="S85" s="28"/>
      <c r="T85" s="28"/>
      <c r="U85" s="28"/>
      <c r="V85" s="28"/>
      <c r="W85" s="28"/>
      <c r="X85" s="28"/>
      <c r="Y85" s="28"/>
      <c r="Z85" s="28"/>
    </row>
    <row r="86" spans="10:26" x14ac:dyDescent="0.25">
      <c r="J86" t="s">
        <v>130</v>
      </c>
      <c r="M86" s="28">
        <f>K86+M85</f>
        <v>578.78684104836555</v>
      </c>
      <c r="N86" s="28">
        <f t="shared" ref="N86:Q86" si="59">M86+N85</f>
        <v>633.44737149545961</v>
      </c>
      <c r="O86" s="28">
        <f t="shared" si="59"/>
        <v>687.56319596032449</v>
      </c>
      <c r="P86" s="28">
        <f t="shared" si="59"/>
        <v>741.14548462780124</v>
      </c>
      <c r="Q86" s="28">
        <f t="shared" si="59"/>
        <v>794.20506859493742</v>
      </c>
      <c r="R86" s="28"/>
      <c r="S86" s="28"/>
      <c r="T86" s="28"/>
      <c r="U86" s="28"/>
      <c r="V86" s="28"/>
      <c r="W86" s="28"/>
      <c r="X86" s="28"/>
      <c r="Y86" s="28"/>
      <c r="Z86" s="28"/>
    </row>
    <row r="88" spans="10:26" x14ac:dyDescent="0.25">
      <c r="J88" t="s">
        <v>129</v>
      </c>
      <c r="M88" s="28">
        <f t="shared" ref="M88" si="60">M$49*3600</f>
        <v>81.379306802318609</v>
      </c>
      <c r="N88" s="28">
        <f t="shared" si="48"/>
        <v>82.5291706898456</v>
      </c>
      <c r="O88" s="28">
        <f t="shared" si="48"/>
        <v>82.737330159362628</v>
      </c>
      <c r="P88" s="28">
        <f t="shared" si="48"/>
        <v>82.945323855826402</v>
      </c>
      <c r="Q88" s="28">
        <f t="shared" si="48"/>
        <v>83.153151566716559</v>
      </c>
      <c r="R88" s="28">
        <f t="shared" si="48"/>
        <v>83.360813082413458</v>
      </c>
      <c r="S88" s="28"/>
      <c r="T88" s="28"/>
      <c r="U88" s="28"/>
      <c r="V88" s="28"/>
      <c r="W88" s="28"/>
      <c r="X88" s="28"/>
      <c r="Y88" s="28"/>
      <c r="Z88" s="28"/>
    </row>
    <row r="89" spans="10:26" x14ac:dyDescent="0.25">
      <c r="J89" t="s">
        <v>125</v>
      </c>
      <c r="M89" s="28">
        <f>M88-$R$56</f>
        <v>19.530506221468769</v>
      </c>
      <c r="N89" s="28">
        <f t="shared" ref="N89:R89" si="61">N88-$R$56</f>
        <v>20.68037010899576</v>
      </c>
      <c r="O89" s="28">
        <f t="shared" si="61"/>
        <v>20.888529578512788</v>
      </c>
      <c r="P89" s="28">
        <f t="shared" si="61"/>
        <v>21.096523274976562</v>
      </c>
      <c r="Q89" s="28">
        <f t="shared" si="61"/>
        <v>21.304350985866719</v>
      </c>
      <c r="R89" s="28">
        <f t="shared" si="61"/>
        <v>21.512012501563618</v>
      </c>
      <c r="S89" s="28"/>
      <c r="T89" s="28"/>
      <c r="U89" s="28"/>
      <c r="V89" s="28"/>
      <c r="W89" s="28"/>
      <c r="X89" s="28"/>
      <c r="Y89" s="28"/>
      <c r="Z89" s="28"/>
    </row>
    <row r="90" spans="10:26" x14ac:dyDescent="0.25">
      <c r="J90" t="s">
        <v>128</v>
      </c>
      <c r="M90" s="28">
        <f t="shared" ref="M90:R90" si="62">M$48/(M89/3600)</f>
        <v>578.78684104836555</v>
      </c>
      <c r="N90" s="28">
        <f t="shared" si="62"/>
        <v>54.660530447094025</v>
      </c>
      <c r="O90" s="28">
        <f t="shared" si="62"/>
        <v>54.115824464864872</v>
      </c>
      <c r="P90" s="28">
        <f t="shared" si="62"/>
        <v>53.582288667476739</v>
      </c>
      <c r="Q90" s="28">
        <f t="shared" si="62"/>
        <v>53.059583967136192</v>
      </c>
      <c r="R90" s="28">
        <f t="shared" si="62"/>
        <v>52.547384858472533</v>
      </c>
      <c r="S90" s="28"/>
      <c r="T90" s="28"/>
      <c r="U90" s="28"/>
      <c r="V90" s="28"/>
      <c r="W90" s="28"/>
      <c r="X90" s="28"/>
      <c r="Y90" s="28"/>
      <c r="Z90" s="28"/>
    </row>
    <row r="91" spans="10:26" x14ac:dyDescent="0.25">
      <c r="J91" t="s">
        <v>130</v>
      </c>
      <c r="M91" s="28">
        <f>K91+M90</f>
        <v>578.78684104836555</v>
      </c>
      <c r="N91" s="28">
        <f t="shared" ref="N91:R91" si="63">M91+N90</f>
        <v>633.44737149545961</v>
      </c>
      <c r="O91" s="28">
        <f t="shared" si="63"/>
        <v>687.56319596032449</v>
      </c>
      <c r="P91" s="28">
        <f t="shared" si="63"/>
        <v>741.14548462780124</v>
      </c>
      <c r="Q91" s="28">
        <f t="shared" si="63"/>
        <v>794.20506859493742</v>
      </c>
      <c r="R91" s="28">
        <f t="shared" si="63"/>
        <v>846.75245345341</v>
      </c>
      <c r="S91" s="28"/>
      <c r="T91" s="28"/>
      <c r="U91" s="28"/>
      <c r="V91" s="28"/>
      <c r="W91" s="28"/>
      <c r="X91" s="28"/>
      <c r="Y91" s="28"/>
      <c r="Z91" s="28"/>
    </row>
    <row r="93" spans="10:26" x14ac:dyDescent="0.25">
      <c r="J93" t="s">
        <v>129</v>
      </c>
      <c r="M93" s="28">
        <f t="shared" ref="M93" si="64">M$49*3600</f>
        <v>81.379306802318609</v>
      </c>
      <c r="N93" s="28">
        <f t="shared" si="48"/>
        <v>82.5291706898456</v>
      </c>
      <c r="O93" s="28">
        <f t="shared" si="48"/>
        <v>82.737330159362628</v>
      </c>
      <c r="P93" s="28">
        <f t="shared" si="48"/>
        <v>82.945323855826402</v>
      </c>
      <c r="Q93" s="28">
        <f t="shared" si="48"/>
        <v>83.153151566716559</v>
      </c>
      <c r="R93" s="28">
        <f t="shared" si="48"/>
        <v>83.360813082413458</v>
      </c>
      <c r="S93" s="28">
        <f t="shared" si="48"/>
        <v>83.568308196181889</v>
      </c>
      <c r="T93" s="28"/>
      <c r="U93" s="28"/>
      <c r="V93" s="28"/>
      <c r="W93" s="28"/>
      <c r="X93" s="28"/>
      <c r="Y93" s="28"/>
      <c r="Z93" s="28"/>
    </row>
    <row r="94" spans="10:26" x14ac:dyDescent="0.25">
      <c r="J94" t="s">
        <v>125</v>
      </c>
      <c r="M94" s="28">
        <f>M93-$S$56</f>
        <v>19.530506221468769</v>
      </c>
      <c r="N94" s="28">
        <f t="shared" ref="N94:S94" si="65">N93-$S$56</f>
        <v>20.68037010899576</v>
      </c>
      <c r="O94" s="28">
        <f t="shared" si="65"/>
        <v>20.888529578512788</v>
      </c>
      <c r="P94" s="28">
        <f t="shared" si="65"/>
        <v>21.096523274976562</v>
      </c>
      <c r="Q94" s="28">
        <f t="shared" si="65"/>
        <v>21.304350985866719</v>
      </c>
      <c r="R94" s="28">
        <f t="shared" si="65"/>
        <v>21.512012501563618</v>
      </c>
      <c r="S94" s="28">
        <f t="shared" si="65"/>
        <v>21.719507615332049</v>
      </c>
      <c r="T94" s="28"/>
      <c r="U94" s="28"/>
      <c r="V94" s="28"/>
      <c r="W94" s="28"/>
      <c r="X94" s="28"/>
      <c r="Y94" s="28"/>
      <c r="Z94" s="28"/>
    </row>
    <row r="95" spans="10:26" x14ac:dyDescent="0.25">
      <c r="J95" t="s">
        <v>128</v>
      </c>
      <c r="M95" s="28">
        <f t="shared" ref="M95:S95" si="66">M$48/(M94/3600)</f>
        <v>578.78684104836555</v>
      </c>
      <c r="N95" s="28">
        <f t="shared" si="66"/>
        <v>54.660530447094025</v>
      </c>
      <c r="O95" s="28">
        <f t="shared" si="66"/>
        <v>54.115824464864872</v>
      </c>
      <c r="P95" s="28">
        <f t="shared" si="66"/>
        <v>53.582288667476739</v>
      </c>
      <c r="Q95" s="28">
        <f t="shared" si="66"/>
        <v>53.059583967136192</v>
      </c>
      <c r="R95" s="28">
        <f t="shared" si="66"/>
        <v>52.547384858472533</v>
      </c>
      <c r="S95" s="28">
        <f t="shared" si="66"/>
        <v>52.045378745233322</v>
      </c>
      <c r="T95" s="28"/>
      <c r="U95" s="28"/>
      <c r="V95" s="28"/>
      <c r="W95" s="28"/>
      <c r="X95" s="28"/>
      <c r="Y95" s="28"/>
      <c r="Z95" s="28"/>
    </row>
    <row r="96" spans="10:26" x14ac:dyDescent="0.25">
      <c r="J96" t="s">
        <v>130</v>
      </c>
      <c r="M96" s="28">
        <f>K96+M95</f>
        <v>578.78684104836555</v>
      </c>
      <c r="N96" s="28">
        <f t="shared" ref="N96:S96" si="67">M96+N95</f>
        <v>633.44737149545961</v>
      </c>
      <c r="O96" s="28">
        <f t="shared" si="67"/>
        <v>687.56319596032449</v>
      </c>
      <c r="P96" s="28">
        <f t="shared" si="67"/>
        <v>741.14548462780124</v>
      </c>
      <c r="Q96" s="28">
        <f t="shared" si="67"/>
        <v>794.20506859493742</v>
      </c>
      <c r="R96" s="28">
        <f t="shared" si="67"/>
        <v>846.75245345341</v>
      </c>
      <c r="S96" s="28">
        <f t="shared" si="67"/>
        <v>898.79783219864328</v>
      </c>
      <c r="T96" s="28"/>
      <c r="U96" s="28"/>
      <c r="V96" s="28"/>
      <c r="W96" s="28"/>
      <c r="X96" s="28"/>
      <c r="Y96" s="28"/>
      <c r="Z96" s="28"/>
    </row>
    <row r="98" spans="10:26" x14ac:dyDescent="0.25">
      <c r="J98" t="s">
        <v>129</v>
      </c>
      <c r="M98" s="28">
        <f t="shared" ref="M98" si="68">M$49*3600</f>
        <v>81.379306802318609</v>
      </c>
      <c r="N98" s="28">
        <f t="shared" si="48"/>
        <v>82.5291706898456</v>
      </c>
      <c r="O98" s="28">
        <f t="shared" si="48"/>
        <v>82.737330159362628</v>
      </c>
      <c r="P98" s="28">
        <f t="shared" si="48"/>
        <v>82.945323855826402</v>
      </c>
      <c r="Q98" s="28">
        <f t="shared" si="48"/>
        <v>83.153151566716559</v>
      </c>
      <c r="R98" s="28">
        <f t="shared" si="48"/>
        <v>83.360813082413458</v>
      </c>
      <c r="S98" s="28">
        <f t="shared" si="48"/>
        <v>83.568308196181889</v>
      </c>
      <c r="T98" s="28">
        <f t="shared" si="48"/>
        <v>83.775636704154763</v>
      </c>
      <c r="U98" s="28"/>
      <c r="V98" s="28"/>
      <c r="W98" s="28"/>
      <c r="X98" s="28"/>
      <c r="Y98" s="28"/>
      <c r="Z98" s="28"/>
    </row>
    <row r="99" spans="10:26" x14ac:dyDescent="0.25">
      <c r="J99" t="s">
        <v>125</v>
      </c>
      <c r="M99" s="28">
        <f>M98-$T$56</f>
        <v>19.530506221468769</v>
      </c>
      <c r="N99" s="28">
        <f t="shared" ref="N99:T99" si="69">N98-$T$56</f>
        <v>20.68037010899576</v>
      </c>
      <c r="O99" s="28">
        <f t="shared" si="69"/>
        <v>20.888529578512788</v>
      </c>
      <c r="P99" s="28">
        <f t="shared" si="69"/>
        <v>21.096523274976562</v>
      </c>
      <c r="Q99" s="28">
        <f t="shared" si="69"/>
        <v>21.304350985866719</v>
      </c>
      <c r="R99" s="28">
        <f t="shared" si="69"/>
        <v>21.512012501563618</v>
      </c>
      <c r="S99" s="28">
        <f t="shared" si="69"/>
        <v>21.719507615332049</v>
      </c>
      <c r="T99" s="28">
        <f t="shared" si="69"/>
        <v>21.926836123304923</v>
      </c>
      <c r="U99" s="28"/>
      <c r="V99" s="28"/>
      <c r="W99" s="28"/>
      <c r="X99" s="28"/>
      <c r="Y99" s="28"/>
      <c r="Z99" s="28"/>
    </row>
    <row r="100" spans="10:26" x14ac:dyDescent="0.25">
      <c r="J100" t="s">
        <v>128</v>
      </c>
      <c r="M100" s="28">
        <f t="shared" ref="M100:T100" si="70">M$48/(M99/3600)</f>
        <v>578.78684104836555</v>
      </c>
      <c r="N100" s="28">
        <f t="shared" si="70"/>
        <v>54.660530447094025</v>
      </c>
      <c r="O100" s="28">
        <f t="shared" si="70"/>
        <v>54.115824464864872</v>
      </c>
      <c r="P100" s="28">
        <f t="shared" si="70"/>
        <v>53.582288667476739</v>
      </c>
      <c r="Q100" s="28">
        <f t="shared" si="70"/>
        <v>53.059583967136192</v>
      </c>
      <c r="R100" s="28">
        <f t="shared" si="70"/>
        <v>52.547384858472533</v>
      </c>
      <c r="S100" s="28">
        <f t="shared" si="70"/>
        <v>52.045378745233322</v>
      </c>
      <c r="T100" s="28">
        <f t="shared" si="70"/>
        <v>51.553265306639062</v>
      </c>
      <c r="U100" s="28"/>
      <c r="V100" s="28"/>
      <c r="W100" s="28"/>
      <c r="X100" s="28"/>
      <c r="Y100" s="28"/>
      <c r="Z100" s="28"/>
    </row>
    <row r="101" spans="10:26" x14ac:dyDescent="0.25">
      <c r="J101" t="s">
        <v>130</v>
      </c>
      <c r="M101" s="28">
        <f>K101+M100</f>
        <v>578.78684104836555</v>
      </c>
      <c r="N101" s="28">
        <f t="shared" ref="N101:T101" si="71">M101+N100</f>
        <v>633.44737149545961</v>
      </c>
      <c r="O101" s="28">
        <f t="shared" si="71"/>
        <v>687.56319596032449</v>
      </c>
      <c r="P101" s="28">
        <f t="shared" si="71"/>
        <v>741.14548462780124</v>
      </c>
      <c r="Q101" s="28">
        <f t="shared" si="71"/>
        <v>794.20506859493742</v>
      </c>
      <c r="R101" s="28">
        <f t="shared" si="71"/>
        <v>846.75245345341</v>
      </c>
      <c r="S101" s="28">
        <f t="shared" si="71"/>
        <v>898.79783219864328</v>
      </c>
      <c r="T101" s="28">
        <f t="shared" si="71"/>
        <v>950.35109750528238</v>
      </c>
      <c r="U101" s="28"/>
      <c r="V101" s="28"/>
      <c r="W101" s="28"/>
      <c r="X101" s="28"/>
      <c r="Y101" s="28"/>
      <c r="Z101" s="28"/>
    </row>
    <row r="103" spans="10:26" x14ac:dyDescent="0.25">
      <c r="J103" t="s">
        <v>129</v>
      </c>
      <c r="M103" s="28">
        <f t="shared" ref="M103" si="72">M$49*3600</f>
        <v>81.379306802318609</v>
      </c>
      <c r="N103" s="28">
        <f t="shared" si="48"/>
        <v>82.5291706898456</v>
      </c>
      <c r="O103" s="28">
        <f t="shared" si="48"/>
        <v>82.737330159362628</v>
      </c>
      <c r="P103" s="28">
        <f t="shared" si="48"/>
        <v>82.945323855826402</v>
      </c>
      <c r="Q103" s="28">
        <f t="shared" si="48"/>
        <v>83.153151566716559</v>
      </c>
      <c r="R103" s="28">
        <f t="shared" si="48"/>
        <v>83.360813082413458</v>
      </c>
      <c r="S103" s="28">
        <f t="shared" si="48"/>
        <v>83.568308196181889</v>
      </c>
      <c r="T103" s="28">
        <f t="shared" si="48"/>
        <v>83.775636704154763</v>
      </c>
      <c r="U103" s="28">
        <f t="shared" si="48"/>
        <v>83.982798405316615</v>
      </c>
      <c r="V103" s="28"/>
      <c r="W103" s="28"/>
      <c r="X103" s="28"/>
      <c r="Y103" s="28"/>
      <c r="Z103" s="28"/>
    </row>
    <row r="104" spans="10:26" x14ac:dyDescent="0.25">
      <c r="J104" t="s">
        <v>125</v>
      </c>
      <c r="M104" s="28">
        <f>M103-$U$56</f>
        <v>19.530506221468769</v>
      </c>
      <c r="N104" s="28">
        <f t="shared" ref="N104:U104" si="73">N103-$U$56</f>
        <v>20.68037010899576</v>
      </c>
      <c r="O104" s="28">
        <f t="shared" si="73"/>
        <v>20.888529578512788</v>
      </c>
      <c r="P104" s="28">
        <f t="shared" si="73"/>
        <v>21.096523274976562</v>
      </c>
      <c r="Q104" s="28">
        <f t="shared" si="73"/>
        <v>21.304350985866719</v>
      </c>
      <c r="R104" s="28">
        <f t="shared" si="73"/>
        <v>21.512012501563618</v>
      </c>
      <c r="S104" s="28">
        <f t="shared" si="73"/>
        <v>21.719507615332049</v>
      </c>
      <c r="T104" s="28">
        <f t="shared" si="73"/>
        <v>21.926836123304923</v>
      </c>
      <c r="U104" s="28">
        <f t="shared" si="73"/>
        <v>22.133997824466775</v>
      </c>
      <c r="V104" s="28"/>
      <c r="W104" s="28"/>
      <c r="X104" s="28"/>
      <c r="Y104" s="28"/>
      <c r="Z104" s="28"/>
    </row>
    <row r="105" spans="10:26" x14ac:dyDescent="0.25">
      <c r="J105" t="s">
        <v>128</v>
      </c>
      <c r="M105" s="28">
        <f t="shared" ref="M105:U105" si="74">M$48/(M104/3600)</f>
        <v>578.78684104836555</v>
      </c>
      <c r="N105" s="28">
        <f t="shared" si="74"/>
        <v>54.660530447094025</v>
      </c>
      <c r="O105" s="28">
        <f t="shared" si="74"/>
        <v>54.115824464864872</v>
      </c>
      <c r="P105" s="28">
        <f t="shared" si="74"/>
        <v>53.582288667476739</v>
      </c>
      <c r="Q105" s="28">
        <f t="shared" si="74"/>
        <v>53.059583967136192</v>
      </c>
      <c r="R105" s="28">
        <f t="shared" si="74"/>
        <v>52.547384858472533</v>
      </c>
      <c r="S105" s="28">
        <f t="shared" si="74"/>
        <v>52.045378745233322</v>
      </c>
      <c r="T105" s="28">
        <f t="shared" si="74"/>
        <v>51.553265306639062</v>
      </c>
      <c r="U105" s="28">
        <f t="shared" si="74"/>
        <v>51.070755900698565</v>
      </c>
      <c r="V105" s="28"/>
      <c r="W105" s="28"/>
      <c r="X105" s="28"/>
      <c r="Y105" s="28"/>
      <c r="Z105" s="28"/>
    </row>
    <row r="106" spans="10:26" x14ac:dyDescent="0.25">
      <c r="J106" t="s">
        <v>130</v>
      </c>
      <c r="M106" s="28">
        <f>K106+M105</f>
        <v>578.78684104836555</v>
      </c>
      <c r="N106" s="28">
        <f t="shared" ref="N106:U106" si="75">M106+N105</f>
        <v>633.44737149545961</v>
      </c>
      <c r="O106" s="28">
        <f t="shared" si="75"/>
        <v>687.56319596032449</v>
      </c>
      <c r="P106" s="28">
        <f t="shared" si="75"/>
        <v>741.14548462780124</v>
      </c>
      <c r="Q106" s="28">
        <f t="shared" si="75"/>
        <v>794.20506859493742</v>
      </c>
      <c r="R106" s="28">
        <f t="shared" si="75"/>
        <v>846.75245345341</v>
      </c>
      <c r="S106" s="28">
        <f t="shared" si="75"/>
        <v>898.79783219864328</v>
      </c>
      <c r="T106" s="28">
        <f t="shared" si="75"/>
        <v>950.35109750528238</v>
      </c>
      <c r="U106" s="28">
        <f t="shared" si="75"/>
        <v>1001.421853405981</v>
      </c>
      <c r="V106" s="28"/>
      <c r="W106" s="28"/>
      <c r="X106" s="28"/>
      <c r="Y106" s="28"/>
      <c r="Z106" s="28"/>
    </row>
    <row r="108" spans="10:26" x14ac:dyDescent="0.25">
      <c r="J108" t="s">
        <v>129</v>
      </c>
      <c r="M108" s="28">
        <f t="shared" ref="M108:Z128" si="76">M$49*3600</f>
        <v>81.379306802318609</v>
      </c>
      <c r="N108" s="28">
        <f t="shared" si="76"/>
        <v>82.5291706898456</v>
      </c>
      <c r="O108" s="28">
        <f t="shared" si="76"/>
        <v>82.737330159362628</v>
      </c>
      <c r="P108" s="28">
        <f t="shared" si="76"/>
        <v>82.945323855826402</v>
      </c>
      <c r="Q108" s="28">
        <f t="shared" si="76"/>
        <v>83.153151566716559</v>
      </c>
      <c r="R108" s="28">
        <f t="shared" si="76"/>
        <v>83.360813082413458</v>
      </c>
      <c r="S108" s="28">
        <f t="shared" si="76"/>
        <v>83.568308196181889</v>
      </c>
      <c r="T108" s="28">
        <f t="shared" si="76"/>
        <v>83.775636704154763</v>
      </c>
      <c r="U108" s="28">
        <f t="shared" si="76"/>
        <v>83.982798405316615</v>
      </c>
      <c r="V108" s="28">
        <f t="shared" si="76"/>
        <v>84.189793101487084</v>
      </c>
      <c r="W108" s="28"/>
      <c r="X108" s="28"/>
      <c r="Y108" s="28"/>
      <c r="Z108" s="28"/>
    </row>
    <row r="109" spans="10:26" x14ac:dyDescent="0.25">
      <c r="J109" t="s">
        <v>125</v>
      </c>
      <c r="M109" s="28">
        <f>M108-$V$56</f>
        <v>19.530506221468769</v>
      </c>
      <c r="N109" s="28">
        <f t="shared" ref="N109:V109" si="77">N108-$V$56</f>
        <v>20.68037010899576</v>
      </c>
      <c r="O109" s="28">
        <f t="shared" si="77"/>
        <v>20.888529578512788</v>
      </c>
      <c r="P109" s="28">
        <f t="shared" si="77"/>
        <v>21.096523274976562</v>
      </c>
      <c r="Q109" s="28">
        <f t="shared" si="77"/>
        <v>21.304350985866719</v>
      </c>
      <c r="R109" s="28">
        <f t="shared" si="77"/>
        <v>21.512012501563618</v>
      </c>
      <c r="S109" s="28">
        <f t="shared" si="77"/>
        <v>21.719507615332049</v>
      </c>
      <c r="T109" s="28">
        <f t="shared" si="77"/>
        <v>21.926836123304923</v>
      </c>
      <c r="U109" s="28">
        <f t="shared" si="77"/>
        <v>22.133997824466775</v>
      </c>
      <c r="V109" s="28">
        <f t="shared" si="77"/>
        <v>22.340992520637244</v>
      </c>
      <c r="W109" s="28"/>
      <c r="X109" s="28"/>
      <c r="Y109" s="28"/>
      <c r="Z109" s="28"/>
    </row>
    <row r="110" spans="10:26" x14ac:dyDescent="0.25">
      <c r="J110" t="s">
        <v>128</v>
      </c>
      <c r="M110" s="28">
        <f t="shared" ref="M110:V110" si="78">M$48/(M109/3600)</f>
        <v>578.78684104836555</v>
      </c>
      <c r="N110" s="28">
        <f t="shared" si="78"/>
        <v>54.660530447094025</v>
      </c>
      <c r="O110" s="28">
        <f t="shared" si="78"/>
        <v>54.115824464864872</v>
      </c>
      <c r="P110" s="28">
        <f t="shared" si="78"/>
        <v>53.582288667476739</v>
      </c>
      <c r="Q110" s="28">
        <f t="shared" si="78"/>
        <v>53.059583967136192</v>
      </c>
      <c r="R110" s="28">
        <f t="shared" si="78"/>
        <v>52.547384858472533</v>
      </c>
      <c r="S110" s="28">
        <f t="shared" si="78"/>
        <v>52.045378745233322</v>
      </c>
      <c r="T110" s="28">
        <f t="shared" si="78"/>
        <v>51.553265306639062</v>
      </c>
      <c r="U110" s="28">
        <f t="shared" si="78"/>
        <v>51.070755900698565</v>
      </c>
      <c r="V110" s="28">
        <f t="shared" si="78"/>
        <v>50.597573001993602</v>
      </c>
      <c r="W110" s="28"/>
      <c r="X110" s="28"/>
      <c r="Y110" s="28"/>
      <c r="Z110" s="28"/>
    </row>
    <row r="111" spans="10:26" x14ac:dyDescent="0.25">
      <c r="J111" t="s">
        <v>130</v>
      </c>
      <c r="M111" s="28">
        <f>K111+M110</f>
        <v>578.78684104836555</v>
      </c>
      <c r="N111" s="28">
        <f t="shared" ref="N111:V111" si="79">M111+N110</f>
        <v>633.44737149545961</v>
      </c>
      <c r="O111" s="28">
        <f t="shared" si="79"/>
        <v>687.56319596032449</v>
      </c>
      <c r="P111" s="28">
        <f t="shared" si="79"/>
        <v>741.14548462780124</v>
      </c>
      <c r="Q111" s="28">
        <f t="shared" si="79"/>
        <v>794.20506859493742</v>
      </c>
      <c r="R111" s="28">
        <f t="shared" si="79"/>
        <v>846.75245345341</v>
      </c>
      <c r="S111" s="28">
        <f t="shared" si="79"/>
        <v>898.79783219864328</v>
      </c>
      <c r="T111" s="28">
        <f t="shared" si="79"/>
        <v>950.35109750528238</v>
      </c>
      <c r="U111" s="28">
        <f t="shared" si="79"/>
        <v>1001.421853405981</v>
      </c>
      <c r="V111" s="28">
        <f t="shared" si="79"/>
        <v>1052.0194264079746</v>
      </c>
      <c r="W111" s="28"/>
      <c r="X111" s="28"/>
      <c r="Y111" s="28"/>
      <c r="Z111" s="28"/>
    </row>
    <row r="113" spans="10:26" x14ac:dyDescent="0.25">
      <c r="J113" t="s">
        <v>129</v>
      </c>
      <c r="M113" s="28">
        <f t="shared" ref="M113" si="80">M$49*3600</f>
        <v>81.379306802318609</v>
      </c>
      <c r="N113" s="28">
        <f t="shared" si="76"/>
        <v>82.5291706898456</v>
      </c>
      <c r="O113" s="28">
        <f t="shared" si="76"/>
        <v>82.737330159362628</v>
      </c>
      <c r="P113" s="28">
        <f t="shared" si="76"/>
        <v>82.945323855826402</v>
      </c>
      <c r="Q113" s="28">
        <f t="shared" si="76"/>
        <v>83.153151566716559</v>
      </c>
      <c r="R113" s="28">
        <f t="shared" si="76"/>
        <v>83.360813082413458</v>
      </c>
      <c r="S113" s="28">
        <f t="shared" si="76"/>
        <v>83.568308196181889</v>
      </c>
      <c r="T113" s="28">
        <f t="shared" si="76"/>
        <v>83.775636704154763</v>
      </c>
      <c r="U113" s="28">
        <f t="shared" si="76"/>
        <v>83.982798405316615</v>
      </c>
      <c r="V113" s="28">
        <f t="shared" si="76"/>
        <v>84.189793101487084</v>
      </c>
      <c r="W113" s="28">
        <f t="shared" si="76"/>
        <v>84.396620597304448</v>
      </c>
      <c r="X113" s="28"/>
      <c r="Y113" s="28"/>
      <c r="Z113" s="28"/>
    </row>
    <row r="114" spans="10:26" x14ac:dyDescent="0.25">
      <c r="J114" t="s">
        <v>125</v>
      </c>
      <c r="M114" s="28">
        <f>M113-$W$56</f>
        <v>19.530506221468769</v>
      </c>
      <c r="N114" s="28">
        <f t="shared" ref="N114:W114" si="81">N113-$W$56</f>
        <v>20.68037010899576</v>
      </c>
      <c r="O114" s="28">
        <f t="shared" si="81"/>
        <v>20.888529578512788</v>
      </c>
      <c r="P114" s="28">
        <f t="shared" si="81"/>
        <v>21.096523274976562</v>
      </c>
      <c r="Q114" s="28">
        <f t="shared" si="81"/>
        <v>21.304350985866719</v>
      </c>
      <c r="R114" s="28">
        <f t="shared" si="81"/>
        <v>21.512012501563618</v>
      </c>
      <c r="S114" s="28">
        <f t="shared" si="81"/>
        <v>21.719507615332049</v>
      </c>
      <c r="T114" s="28">
        <f t="shared" si="81"/>
        <v>21.926836123304923</v>
      </c>
      <c r="U114" s="28">
        <f t="shared" si="81"/>
        <v>22.133997824466775</v>
      </c>
      <c r="V114" s="28">
        <f t="shared" si="81"/>
        <v>22.340992520637244</v>
      </c>
      <c r="W114" s="28">
        <f t="shared" si="81"/>
        <v>22.547820016454608</v>
      </c>
      <c r="X114" s="28"/>
      <c r="Y114" s="28"/>
      <c r="Z114" s="28"/>
    </row>
    <row r="115" spans="10:26" x14ac:dyDescent="0.25">
      <c r="J115" t="s">
        <v>128</v>
      </c>
      <c r="M115" s="28">
        <f t="shared" ref="M115:W115" si="82">M$48/(M114/3600)</f>
        <v>578.78684104836555</v>
      </c>
      <c r="N115" s="28">
        <f t="shared" si="82"/>
        <v>54.660530447094025</v>
      </c>
      <c r="O115" s="28">
        <f t="shared" si="82"/>
        <v>54.115824464864872</v>
      </c>
      <c r="P115" s="28">
        <f t="shared" si="82"/>
        <v>53.582288667476739</v>
      </c>
      <c r="Q115" s="28">
        <f t="shared" si="82"/>
        <v>53.059583967136192</v>
      </c>
      <c r="R115" s="28">
        <f t="shared" si="82"/>
        <v>52.547384858472533</v>
      </c>
      <c r="S115" s="28">
        <f t="shared" si="82"/>
        <v>52.045378745233322</v>
      </c>
      <c r="T115" s="28">
        <f t="shared" si="82"/>
        <v>51.553265306639062</v>
      </c>
      <c r="U115" s="28">
        <f t="shared" si="82"/>
        <v>51.070755900698565</v>
      </c>
      <c r="V115" s="28">
        <f t="shared" si="82"/>
        <v>50.597573001993602</v>
      </c>
      <c r="W115" s="28">
        <f t="shared" si="82"/>
        <v>50.133449671631652</v>
      </c>
      <c r="X115" s="28"/>
      <c r="Y115" s="28"/>
      <c r="Z115" s="28"/>
    </row>
    <row r="116" spans="10:26" x14ac:dyDescent="0.25">
      <c r="J116" t="s">
        <v>130</v>
      </c>
      <c r="M116" s="28">
        <f>K116+M115</f>
        <v>578.78684104836555</v>
      </c>
      <c r="N116" s="28">
        <f t="shared" ref="N116:W116" si="83">M116+N115</f>
        <v>633.44737149545961</v>
      </c>
      <c r="O116" s="28">
        <f t="shared" si="83"/>
        <v>687.56319596032449</v>
      </c>
      <c r="P116" s="28">
        <f t="shared" si="83"/>
        <v>741.14548462780124</v>
      </c>
      <c r="Q116" s="28">
        <f t="shared" si="83"/>
        <v>794.20506859493742</v>
      </c>
      <c r="R116" s="28">
        <f t="shared" si="83"/>
        <v>846.75245345341</v>
      </c>
      <c r="S116" s="28">
        <f t="shared" si="83"/>
        <v>898.79783219864328</v>
      </c>
      <c r="T116" s="28">
        <f t="shared" si="83"/>
        <v>950.35109750528238</v>
      </c>
      <c r="U116" s="28">
        <f t="shared" si="83"/>
        <v>1001.421853405981</v>
      </c>
      <c r="V116" s="28">
        <f t="shared" si="83"/>
        <v>1052.0194264079746</v>
      </c>
      <c r="W116" s="28">
        <f t="shared" si="83"/>
        <v>1102.1528760796064</v>
      </c>
      <c r="X116" s="28"/>
      <c r="Y116" s="28"/>
      <c r="Z116" s="28"/>
    </row>
    <row r="118" spans="10:26" x14ac:dyDescent="0.25">
      <c r="J118" t="s">
        <v>129</v>
      </c>
      <c r="M118" s="28">
        <f t="shared" ref="M118" si="84">M$49*3600</f>
        <v>81.379306802318609</v>
      </c>
      <c r="N118" s="28">
        <f t="shared" si="76"/>
        <v>82.5291706898456</v>
      </c>
      <c r="O118" s="28">
        <f t="shared" si="76"/>
        <v>82.737330159362628</v>
      </c>
      <c r="P118" s="28">
        <f t="shared" si="76"/>
        <v>82.945323855826402</v>
      </c>
      <c r="Q118" s="28">
        <f t="shared" si="76"/>
        <v>83.153151566716559</v>
      </c>
      <c r="R118" s="28">
        <f t="shared" si="76"/>
        <v>83.360813082413458</v>
      </c>
      <c r="S118" s="28">
        <f t="shared" si="76"/>
        <v>83.568308196181889</v>
      </c>
      <c r="T118" s="28">
        <f t="shared" si="76"/>
        <v>83.775636704154763</v>
      </c>
      <c r="U118" s="28">
        <f t="shared" si="76"/>
        <v>83.982798405316615</v>
      </c>
      <c r="V118" s="28">
        <f t="shared" si="76"/>
        <v>84.189793101487084</v>
      </c>
      <c r="W118" s="28">
        <f t="shared" si="76"/>
        <v>84.396620597304448</v>
      </c>
      <c r="X118" s="28">
        <f t="shared" si="76"/>
        <v>84.60328070020887</v>
      </c>
      <c r="Y118" s="28"/>
      <c r="Z118" s="28"/>
    </row>
    <row r="119" spans="10:26" x14ac:dyDescent="0.25">
      <c r="J119" t="s">
        <v>125</v>
      </c>
      <c r="M119" s="28">
        <f>M118-$X$56</f>
        <v>19.530506221468769</v>
      </c>
      <c r="N119" s="28">
        <f t="shared" ref="N119:X119" si="85">N118-$X$56</f>
        <v>20.68037010899576</v>
      </c>
      <c r="O119" s="28">
        <f t="shared" si="85"/>
        <v>20.888529578512788</v>
      </c>
      <c r="P119" s="28">
        <f t="shared" si="85"/>
        <v>21.096523274976562</v>
      </c>
      <c r="Q119" s="28">
        <f t="shared" si="85"/>
        <v>21.304350985866719</v>
      </c>
      <c r="R119" s="28">
        <f t="shared" si="85"/>
        <v>21.512012501563618</v>
      </c>
      <c r="S119" s="28">
        <f t="shared" si="85"/>
        <v>21.719507615332049</v>
      </c>
      <c r="T119" s="28">
        <f t="shared" si="85"/>
        <v>21.926836123304923</v>
      </c>
      <c r="U119" s="28">
        <f t="shared" si="85"/>
        <v>22.133997824466775</v>
      </c>
      <c r="V119" s="28">
        <f t="shared" si="85"/>
        <v>22.340992520637244</v>
      </c>
      <c r="W119" s="28">
        <f t="shared" si="85"/>
        <v>22.547820016454608</v>
      </c>
      <c r="X119" s="28">
        <f t="shared" si="85"/>
        <v>22.75448011935903</v>
      </c>
      <c r="Y119" s="28"/>
      <c r="Z119" s="28"/>
    </row>
    <row r="120" spans="10:26" x14ac:dyDescent="0.25">
      <c r="J120" t="s">
        <v>128</v>
      </c>
      <c r="M120" s="28">
        <f t="shared" ref="M120:X120" si="86">M$48/(M119/3600)</f>
        <v>578.78684104836555</v>
      </c>
      <c r="N120" s="28">
        <f t="shared" si="86"/>
        <v>54.660530447094025</v>
      </c>
      <c r="O120" s="28">
        <f t="shared" si="86"/>
        <v>54.115824464864872</v>
      </c>
      <c r="P120" s="28">
        <f t="shared" si="86"/>
        <v>53.582288667476739</v>
      </c>
      <c r="Q120" s="28">
        <f t="shared" si="86"/>
        <v>53.059583967136192</v>
      </c>
      <c r="R120" s="28">
        <f t="shared" si="86"/>
        <v>52.547384858472533</v>
      </c>
      <c r="S120" s="28">
        <f t="shared" si="86"/>
        <v>52.045378745233322</v>
      </c>
      <c r="T120" s="28">
        <f t="shared" si="86"/>
        <v>51.553265306639062</v>
      </c>
      <c r="U120" s="28">
        <f t="shared" si="86"/>
        <v>51.070755900698565</v>
      </c>
      <c r="V120" s="28">
        <f t="shared" si="86"/>
        <v>50.597573001993602</v>
      </c>
      <c r="W120" s="28">
        <f t="shared" si="86"/>
        <v>50.133449671631652</v>
      </c>
      <c r="X120" s="28">
        <f t="shared" si="86"/>
        <v>49.67812905724071</v>
      </c>
      <c r="Y120" s="28"/>
      <c r="Z120" s="28"/>
    </row>
    <row r="121" spans="10:26" x14ac:dyDescent="0.25">
      <c r="J121" t="s">
        <v>130</v>
      </c>
      <c r="M121" s="28">
        <f>K121+M120</f>
        <v>578.78684104836555</v>
      </c>
      <c r="N121" s="28">
        <f t="shared" ref="N121:X121" si="87">M121+N120</f>
        <v>633.44737149545961</v>
      </c>
      <c r="O121" s="28">
        <f t="shared" si="87"/>
        <v>687.56319596032449</v>
      </c>
      <c r="P121" s="28">
        <f t="shared" si="87"/>
        <v>741.14548462780124</v>
      </c>
      <c r="Q121" s="28">
        <f t="shared" si="87"/>
        <v>794.20506859493742</v>
      </c>
      <c r="R121" s="28">
        <f t="shared" si="87"/>
        <v>846.75245345341</v>
      </c>
      <c r="S121" s="28">
        <f t="shared" si="87"/>
        <v>898.79783219864328</v>
      </c>
      <c r="T121" s="28">
        <f t="shared" si="87"/>
        <v>950.35109750528238</v>
      </c>
      <c r="U121" s="28">
        <f t="shared" si="87"/>
        <v>1001.421853405981</v>
      </c>
      <c r="V121" s="28">
        <f t="shared" si="87"/>
        <v>1052.0194264079746</v>
      </c>
      <c r="W121" s="28">
        <f t="shared" si="87"/>
        <v>1102.1528760796064</v>
      </c>
      <c r="X121" s="28">
        <f t="shared" si="87"/>
        <v>1151.8310051368471</v>
      </c>
      <c r="Y121" s="28"/>
      <c r="Z121" s="28"/>
    </row>
    <row r="123" spans="10:26" x14ac:dyDescent="0.25">
      <c r="J123" t="s">
        <v>129</v>
      </c>
      <c r="M123" s="28">
        <f t="shared" ref="M123" si="88">M$49*3600</f>
        <v>81.379306802318609</v>
      </c>
      <c r="N123" s="28">
        <f t="shared" si="76"/>
        <v>82.5291706898456</v>
      </c>
      <c r="O123" s="28">
        <f t="shared" si="76"/>
        <v>82.737330159362628</v>
      </c>
      <c r="P123" s="28">
        <f t="shared" si="76"/>
        <v>82.945323855826402</v>
      </c>
      <c r="Q123" s="28">
        <f t="shared" si="76"/>
        <v>83.153151566716559</v>
      </c>
      <c r="R123" s="28">
        <f t="shared" si="76"/>
        <v>83.360813082413458</v>
      </c>
      <c r="S123" s="28">
        <f t="shared" si="76"/>
        <v>83.568308196181889</v>
      </c>
      <c r="T123" s="28">
        <f t="shared" si="76"/>
        <v>83.775636704154763</v>
      </c>
      <c r="U123" s="28">
        <f t="shared" si="76"/>
        <v>83.982798405316615</v>
      </c>
      <c r="V123" s="28">
        <f t="shared" si="76"/>
        <v>84.189793101487084</v>
      </c>
      <c r="W123" s="28">
        <f t="shared" si="76"/>
        <v>84.396620597304448</v>
      </c>
      <c r="X123" s="28">
        <f t="shared" si="76"/>
        <v>84.60328070020887</v>
      </c>
      <c r="Y123" s="28">
        <f t="shared" si="76"/>
        <v>84.80977322042591</v>
      </c>
      <c r="Z123" s="28"/>
    </row>
    <row r="124" spans="10:26" x14ac:dyDescent="0.25">
      <c r="J124" t="s">
        <v>125</v>
      </c>
      <c r="M124" s="28">
        <f>M123-$Y$56</f>
        <v>19.530506221468769</v>
      </c>
      <c r="N124" s="28">
        <f t="shared" ref="N124:Y124" si="89">N123-$Y$56</f>
        <v>20.68037010899576</v>
      </c>
      <c r="O124" s="28">
        <f t="shared" si="89"/>
        <v>20.888529578512788</v>
      </c>
      <c r="P124" s="28">
        <f t="shared" si="89"/>
        <v>21.096523274976562</v>
      </c>
      <c r="Q124" s="28">
        <f t="shared" si="89"/>
        <v>21.304350985866719</v>
      </c>
      <c r="R124" s="28">
        <f t="shared" si="89"/>
        <v>21.512012501563618</v>
      </c>
      <c r="S124" s="28">
        <f t="shared" si="89"/>
        <v>21.719507615332049</v>
      </c>
      <c r="T124" s="28">
        <f t="shared" si="89"/>
        <v>21.926836123304923</v>
      </c>
      <c r="U124" s="28">
        <f t="shared" si="89"/>
        <v>22.133997824466775</v>
      </c>
      <c r="V124" s="28">
        <f t="shared" si="89"/>
        <v>22.340992520637244</v>
      </c>
      <c r="W124" s="28">
        <f t="shared" si="89"/>
        <v>22.547820016454608</v>
      </c>
      <c r="X124" s="28">
        <f t="shared" si="89"/>
        <v>22.75448011935903</v>
      </c>
      <c r="Y124" s="28">
        <f t="shared" si="89"/>
        <v>22.96097263957607</v>
      </c>
      <c r="Z124" s="28"/>
    </row>
    <row r="125" spans="10:26" x14ac:dyDescent="0.25">
      <c r="J125" t="s">
        <v>128</v>
      </c>
      <c r="M125" s="28">
        <f t="shared" ref="M125:Y125" si="90">M$48/(M124/3600)</f>
        <v>578.78684104836555</v>
      </c>
      <c r="N125" s="28">
        <f t="shared" si="90"/>
        <v>54.660530447094025</v>
      </c>
      <c r="O125" s="28">
        <f t="shared" si="90"/>
        <v>54.115824464864872</v>
      </c>
      <c r="P125" s="28">
        <f t="shared" si="90"/>
        <v>53.582288667476739</v>
      </c>
      <c r="Q125" s="28">
        <f t="shared" si="90"/>
        <v>53.059583967136192</v>
      </c>
      <c r="R125" s="28">
        <f t="shared" si="90"/>
        <v>52.547384858472533</v>
      </c>
      <c r="S125" s="28">
        <f t="shared" si="90"/>
        <v>52.045378745233322</v>
      </c>
      <c r="T125" s="28">
        <f t="shared" si="90"/>
        <v>51.553265306639062</v>
      </c>
      <c r="U125" s="28">
        <f t="shared" si="90"/>
        <v>51.070755900698565</v>
      </c>
      <c r="V125" s="28">
        <f t="shared" si="90"/>
        <v>50.597573001993602</v>
      </c>
      <c r="W125" s="28">
        <f t="shared" si="90"/>
        <v>50.133449671631652</v>
      </c>
      <c r="X125" s="28">
        <f t="shared" si="90"/>
        <v>49.67812905724071</v>
      </c>
      <c r="Y125" s="28">
        <f t="shared" si="90"/>
        <v>49.231363921036689</v>
      </c>
      <c r="Z125" s="28"/>
    </row>
    <row r="126" spans="10:26" x14ac:dyDescent="0.25">
      <c r="J126" t="s">
        <v>130</v>
      </c>
      <c r="M126" s="28">
        <f>K126+M125</f>
        <v>578.78684104836555</v>
      </c>
      <c r="N126" s="28">
        <f t="shared" ref="N126:Y126" si="91">M126+N125</f>
        <v>633.44737149545961</v>
      </c>
      <c r="O126" s="28">
        <f t="shared" si="91"/>
        <v>687.56319596032449</v>
      </c>
      <c r="P126" s="28">
        <f t="shared" si="91"/>
        <v>741.14548462780124</v>
      </c>
      <c r="Q126" s="28">
        <f t="shared" si="91"/>
        <v>794.20506859493742</v>
      </c>
      <c r="R126" s="28">
        <f t="shared" si="91"/>
        <v>846.75245345341</v>
      </c>
      <c r="S126" s="28">
        <f t="shared" si="91"/>
        <v>898.79783219864328</v>
      </c>
      <c r="T126" s="28">
        <f t="shared" si="91"/>
        <v>950.35109750528238</v>
      </c>
      <c r="U126" s="28">
        <f t="shared" si="91"/>
        <v>1001.421853405981</v>
      </c>
      <c r="V126" s="28">
        <f t="shared" si="91"/>
        <v>1052.0194264079746</v>
      </c>
      <c r="W126" s="28">
        <f t="shared" si="91"/>
        <v>1102.1528760796064</v>
      </c>
      <c r="X126" s="28">
        <f t="shared" si="91"/>
        <v>1151.8310051368471</v>
      </c>
      <c r="Y126" s="28">
        <f t="shared" si="91"/>
        <v>1201.0623690578839</v>
      </c>
      <c r="Z126" s="28"/>
    </row>
    <row r="128" spans="10:26" x14ac:dyDescent="0.25">
      <c r="J128" t="s">
        <v>129</v>
      </c>
      <c r="M128" s="28">
        <f t="shared" ref="M128" si="92">M$49*3600</f>
        <v>81.379306802318609</v>
      </c>
      <c r="N128" s="28">
        <f t="shared" si="76"/>
        <v>82.5291706898456</v>
      </c>
      <c r="O128" s="28">
        <f t="shared" si="76"/>
        <v>82.737330159362628</v>
      </c>
      <c r="P128" s="28">
        <f t="shared" si="76"/>
        <v>82.945323855826402</v>
      </c>
      <c r="Q128" s="28">
        <f t="shared" si="76"/>
        <v>83.153151566716559</v>
      </c>
      <c r="R128" s="28">
        <f t="shared" si="76"/>
        <v>83.360813082413458</v>
      </c>
      <c r="S128" s="28">
        <f t="shared" si="76"/>
        <v>83.568308196181889</v>
      </c>
      <c r="T128" s="28">
        <f t="shared" si="76"/>
        <v>83.775636704154763</v>
      </c>
      <c r="U128" s="28">
        <f t="shared" si="76"/>
        <v>83.982798405316615</v>
      </c>
      <c r="V128" s="28">
        <f t="shared" si="76"/>
        <v>84.189793101487084</v>
      </c>
      <c r="W128" s="28">
        <f t="shared" si="76"/>
        <v>84.396620597304448</v>
      </c>
      <c r="X128" s="28">
        <f t="shared" si="76"/>
        <v>84.60328070020887</v>
      </c>
      <c r="Y128" s="28">
        <f t="shared" si="76"/>
        <v>84.80977322042591</v>
      </c>
      <c r="Z128" s="28">
        <f t="shared" si="76"/>
        <v>85.01609797094973</v>
      </c>
    </row>
    <row r="129" spans="10:26" x14ac:dyDescent="0.25">
      <c r="J129" t="s">
        <v>125</v>
      </c>
      <c r="M129" s="28">
        <f>M128-$Z$56</f>
        <v>19.530506221468769</v>
      </c>
      <c r="N129" s="28">
        <f t="shared" ref="N129:Z129" si="93">N128-$Z$56</f>
        <v>20.68037010899576</v>
      </c>
      <c r="O129" s="28">
        <f t="shared" si="93"/>
        <v>20.888529578512788</v>
      </c>
      <c r="P129" s="28">
        <f t="shared" si="93"/>
        <v>21.096523274976562</v>
      </c>
      <c r="Q129" s="28">
        <f t="shared" si="93"/>
        <v>21.304350985866719</v>
      </c>
      <c r="R129" s="28">
        <f t="shared" si="93"/>
        <v>21.512012501563618</v>
      </c>
      <c r="S129" s="28">
        <f t="shared" si="93"/>
        <v>21.719507615332049</v>
      </c>
      <c r="T129" s="28">
        <f t="shared" si="93"/>
        <v>21.926836123304923</v>
      </c>
      <c r="U129" s="28">
        <f t="shared" si="93"/>
        <v>22.133997824466775</v>
      </c>
      <c r="V129" s="28">
        <f t="shared" si="93"/>
        <v>22.340992520637244</v>
      </c>
      <c r="W129" s="28">
        <f t="shared" si="93"/>
        <v>22.547820016454608</v>
      </c>
      <c r="X129" s="28">
        <f t="shared" si="93"/>
        <v>22.75448011935903</v>
      </c>
      <c r="Y129" s="28">
        <f t="shared" si="93"/>
        <v>22.96097263957607</v>
      </c>
      <c r="Z129" s="28">
        <f t="shared" si="93"/>
        <v>23.16729739009989</v>
      </c>
    </row>
    <row r="130" spans="10:26" x14ac:dyDescent="0.25">
      <c r="J130" t="s">
        <v>128</v>
      </c>
      <c r="M130" s="28">
        <f t="shared" ref="M130:Z130" si="94">M$48/(M129/3600)</f>
        <v>578.78684104836555</v>
      </c>
      <c r="N130" s="28">
        <f t="shared" si="94"/>
        <v>54.660530447094025</v>
      </c>
      <c r="O130" s="28">
        <f t="shared" si="94"/>
        <v>54.115824464864872</v>
      </c>
      <c r="P130" s="28">
        <f t="shared" si="94"/>
        <v>53.582288667476739</v>
      </c>
      <c r="Q130" s="28">
        <f t="shared" si="94"/>
        <v>53.059583967136192</v>
      </c>
      <c r="R130" s="28">
        <f t="shared" si="94"/>
        <v>52.547384858472533</v>
      </c>
      <c r="S130" s="28">
        <f t="shared" si="94"/>
        <v>52.045378745233322</v>
      </c>
      <c r="T130" s="28">
        <f t="shared" si="94"/>
        <v>51.553265306639062</v>
      </c>
      <c r="U130" s="28">
        <f t="shared" si="94"/>
        <v>51.070755900698565</v>
      </c>
      <c r="V130" s="28">
        <f t="shared" si="94"/>
        <v>50.597573001993602</v>
      </c>
      <c r="W130" s="28">
        <f t="shared" si="94"/>
        <v>50.133449671631652</v>
      </c>
      <c r="X130" s="28">
        <f t="shared" si="94"/>
        <v>49.67812905724071</v>
      </c>
      <c r="Y130" s="28">
        <f t="shared" si="94"/>
        <v>49.231363921036689</v>
      </c>
      <c r="Z130" s="28">
        <f t="shared" si="94"/>
        <v>48.792916194143174</v>
      </c>
    </row>
    <row r="131" spans="10:26" x14ac:dyDescent="0.25">
      <c r="J131" t="s">
        <v>130</v>
      </c>
      <c r="M131" s="28">
        <f>K131+M130</f>
        <v>578.78684104836555</v>
      </c>
      <c r="N131" s="28">
        <f t="shared" ref="N131:Z131" si="95">M131+N130</f>
        <v>633.44737149545961</v>
      </c>
      <c r="O131" s="28">
        <f t="shared" si="95"/>
        <v>687.56319596032449</v>
      </c>
      <c r="P131" s="28">
        <f t="shared" si="95"/>
        <v>741.14548462780124</v>
      </c>
      <c r="Q131" s="28">
        <f t="shared" si="95"/>
        <v>794.20506859493742</v>
      </c>
      <c r="R131" s="28">
        <f t="shared" si="95"/>
        <v>846.75245345341</v>
      </c>
      <c r="S131" s="28">
        <f t="shared" si="95"/>
        <v>898.79783219864328</v>
      </c>
      <c r="T131" s="28">
        <f t="shared" si="95"/>
        <v>950.35109750528238</v>
      </c>
      <c r="U131" s="28">
        <f t="shared" si="95"/>
        <v>1001.421853405981</v>
      </c>
      <c r="V131" s="28">
        <f t="shared" si="95"/>
        <v>1052.0194264079746</v>
      </c>
      <c r="W131" s="28">
        <f t="shared" si="95"/>
        <v>1102.1528760796064</v>
      </c>
      <c r="X131" s="28">
        <f t="shared" si="95"/>
        <v>1151.8310051368471</v>
      </c>
      <c r="Y131" s="28">
        <f t="shared" si="95"/>
        <v>1201.0623690578839</v>
      </c>
      <c r="Z131" s="28">
        <f t="shared" si="95"/>
        <v>1249.855285252027</v>
      </c>
    </row>
    <row r="133" spans="10:26" x14ac:dyDescent="0.25"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0:26" x14ac:dyDescent="0.25"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0:26" x14ac:dyDescent="0.25"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0:26" x14ac:dyDescent="0.25"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8" spans="10:26" x14ac:dyDescent="0.25"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0:26" x14ac:dyDescent="0.25"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0:26" x14ac:dyDescent="0.25"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0:26" x14ac:dyDescent="0.25"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</sheetData>
  <mergeCells count="8">
    <mergeCell ref="K13:V13"/>
    <mergeCell ref="I33:I34"/>
    <mergeCell ref="C2:D2"/>
    <mergeCell ref="C3:D3"/>
    <mergeCell ref="C4:D4"/>
    <mergeCell ref="C5:D5"/>
    <mergeCell ref="C6:D6"/>
    <mergeCell ref="K12:T12"/>
  </mergeCells>
  <conditionalFormatting sqref="M61:Z61">
    <cfRule type="cellIs" dxfId="2" priority="3" operator="greaterThan">
      <formula>#REF!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E3ED620B-CDB4-4CC6-A2C5-AB99AB169FB5}">
            <xm:f>'1 pompa'!$G$15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M61:Z61</xm:sqref>
        </x14:conditionalFormatting>
        <x14:conditionalFormatting xmlns:xm="http://schemas.microsoft.com/office/excel/2006/main">
          <x14:cfRule type="cellIs" priority="1" operator="lessThan" id="{40A21758-9CCB-4B5A-850C-3062C5F036E9}">
            <xm:f>'1 pompa'!$E$25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0BD0-99C9-4D6A-8CA9-2657A4574AA1}">
  <sheetPr codeName="Arkusz3"/>
  <dimension ref="B1:AJ139"/>
  <sheetViews>
    <sheetView topLeftCell="A26" workbookViewId="0">
      <selection activeCell="I41" sqref="I41:I42"/>
    </sheetView>
  </sheetViews>
  <sheetFormatPr defaultRowHeight="15" x14ac:dyDescent="0.25"/>
  <cols>
    <col min="1" max="1" width="4.7109375" customWidth="1"/>
    <col min="2" max="2" width="46.140625" customWidth="1"/>
    <col min="3" max="3" width="9.42578125" style="2" customWidth="1"/>
    <col min="4" max="4" width="1.7109375" customWidth="1"/>
    <col min="5" max="5" width="13.85546875" style="7" customWidth="1"/>
    <col min="7" max="7" width="9.5703125" bestFit="1" customWidth="1"/>
    <col min="9" max="9" width="38.28515625" customWidth="1"/>
    <col min="10" max="10" width="41.28515625" customWidth="1"/>
    <col min="11" max="25" width="10.140625" customWidth="1"/>
  </cols>
  <sheetData>
    <row r="1" spans="2:36" ht="33.75" x14ac:dyDescent="0.5">
      <c r="B1" s="1" t="s">
        <v>11</v>
      </c>
    </row>
    <row r="2" spans="2:36" x14ac:dyDescent="0.25">
      <c r="B2" t="s">
        <v>42</v>
      </c>
      <c r="C2" s="61" t="s">
        <v>37</v>
      </c>
      <c r="D2" s="61"/>
      <c r="E2" s="6"/>
    </row>
    <row r="3" spans="2:36" x14ac:dyDescent="0.25">
      <c r="B3" t="s">
        <v>41</v>
      </c>
      <c r="C3" s="61" t="s">
        <v>38</v>
      </c>
      <c r="D3" s="61"/>
      <c r="E3" s="8"/>
    </row>
    <row r="4" spans="2:36" x14ac:dyDescent="0.25">
      <c r="B4" t="s">
        <v>43</v>
      </c>
      <c r="C4" s="61"/>
      <c r="D4" s="61"/>
      <c r="E4" s="9"/>
    </row>
    <row r="5" spans="2:36" x14ac:dyDescent="0.25">
      <c r="B5" t="s">
        <v>44</v>
      </c>
      <c r="C5" s="61" t="s">
        <v>37</v>
      </c>
      <c r="D5" s="61"/>
      <c r="E5" s="18"/>
    </row>
    <row r="6" spans="2:36" x14ac:dyDescent="0.25">
      <c r="B6" t="s">
        <v>122</v>
      </c>
      <c r="C6" s="61" t="s">
        <v>123</v>
      </c>
      <c r="D6" s="61"/>
      <c r="E6" s="34"/>
    </row>
    <row r="7" spans="2:36" x14ac:dyDescent="0.25">
      <c r="C7" s="49"/>
      <c r="D7" s="49"/>
      <c r="E7" s="35"/>
    </row>
    <row r="11" spans="2:36" ht="33.75" x14ac:dyDescent="0.5">
      <c r="B11" s="1" t="s">
        <v>70</v>
      </c>
      <c r="C11"/>
      <c r="J11" s="1" t="s">
        <v>106</v>
      </c>
    </row>
    <row r="12" spans="2:36" x14ac:dyDescent="0.25">
      <c r="C12" t="s">
        <v>156</v>
      </c>
      <c r="D12" t="s">
        <v>23</v>
      </c>
      <c r="E12" s="17">
        <v>3</v>
      </c>
      <c r="K12" s="62"/>
      <c r="L12" s="62"/>
      <c r="M12" s="62"/>
      <c r="N12" s="62"/>
      <c r="O12" s="62"/>
      <c r="P12" s="62"/>
      <c r="Q12" s="62"/>
      <c r="R12" s="62"/>
      <c r="S12" s="62"/>
      <c r="V12" t="s">
        <v>158</v>
      </c>
      <c r="Y12" s="56">
        <v>1</v>
      </c>
    </row>
    <row r="13" spans="2:36" x14ac:dyDescent="0.25">
      <c r="C13"/>
      <c r="L13" s="62" t="s">
        <v>62</v>
      </c>
      <c r="M13" s="62"/>
      <c r="N13" s="62"/>
      <c r="O13" s="62"/>
      <c r="P13" s="62"/>
      <c r="Q13" s="62"/>
      <c r="R13" s="62"/>
      <c r="S13" s="62"/>
      <c r="T13" s="62"/>
      <c r="U13" s="62"/>
      <c r="X13" s="62" t="s">
        <v>63</v>
      </c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</row>
    <row r="14" spans="2:36" x14ac:dyDescent="0.25">
      <c r="C14"/>
      <c r="E14" s="7" t="s">
        <v>134</v>
      </c>
      <c r="F14" t="s">
        <v>135</v>
      </c>
      <c r="G14" t="s">
        <v>136</v>
      </c>
      <c r="H14" t="s">
        <v>69</v>
      </c>
      <c r="K14" t="s">
        <v>157</v>
      </c>
      <c r="L14" t="s">
        <v>108</v>
      </c>
      <c r="M14" t="s">
        <v>139</v>
      </c>
      <c r="N14" t="s">
        <v>140</v>
      </c>
      <c r="O14" t="s">
        <v>141</v>
      </c>
      <c r="P14" t="s">
        <v>89</v>
      </c>
      <c r="Q14" t="s">
        <v>143</v>
      </c>
      <c r="R14" t="s">
        <v>144</v>
      </c>
      <c r="S14" t="s">
        <v>145</v>
      </c>
      <c r="T14" t="s">
        <v>107</v>
      </c>
      <c r="U14" t="s">
        <v>146</v>
      </c>
      <c r="V14" s="50" t="s">
        <v>160</v>
      </c>
      <c r="X14" t="s">
        <v>159</v>
      </c>
      <c r="Y14" t="s">
        <v>108</v>
      </c>
      <c r="Z14" t="s">
        <v>139</v>
      </c>
      <c r="AA14" t="s">
        <v>140</v>
      </c>
      <c r="AB14" t="s">
        <v>141</v>
      </c>
      <c r="AC14" t="s">
        <v>89</v>
      </c>
      <c r="AD14" t="s">
        <v>143</v>
      </c>
      <c r="AE14" t="s">
        <v>144</v>
      </c>
      <c r="AF14" t="s">
        <v>145</v>
      </c>
      <c r="AG14" t="s">
        <v>107</v>
      </c>
      <c r="AH14" t="s">
        <v>146</v>
      </c>
      <c r="AI14" t="s">
        <v>147</v>
      </c>
      <c r="AJ14" t="s">
        <v>163</v>
      </c>
    </row>
    <row r="15" spans="2:36" x14ac:dyDescent="0.25">
      <c r="B15" s="41"/>
      <c r="C15" t="s">
        <v>71</v>
      </c>
      <c r="D15" t="s">
        <v>48</v>
      </c>
      <c r="E15" s="44">
        <f>G15/1000</f>
        <v>3.5999999999999997E-2</v>
      </c>
      <c r="F15" s="47">
        <f>E15*3600</f>
        <v>129.6</v>
      </c>
      <c r="G15" s="5">
        <f>'1 pompa'!G59*E$12</f>
        <v>36</v>
      </c>
      <c r="H15" s="54">
        <f>'1 pompa'!H59</f>
        <v>19.600000000000001</v>
      </c>
      <c r="I15" s="28"/>
      <c r="K15" s="48">
        <f>E15/E$12</f>
        <v>1.1999999999999999E-2</v>
      </c>
      <c r="L15" s="5">
        <f>K15/'1 pompa'!$G$35</f>
        <v>1.2633573722166656</v>
      </c>
      <c r="M15" s="11">
        <f>('1 pompa'!$E$35/1000)*L15/'1 pompa'!$E$20</f>
        <v>138030.70216908344</v>
      </c>
      <c r="N15" s="52">
        <f>1/(1+POWER((M15/2712), 8.4))</f>
        <v>4.6114499411789594E-15</v>
      </c>
      <c r="O15" s="48">
        <f>1/(1+(POWER(M15/(150*(('1 pompa'!$E$35/1000)/'1 pompa'!$E$42)),1.8)))</f>
        <v>3.1622595672045908E-2</v>
      </c>
      <c r="P15" s="5">
        <f>POWER((64/M15), N15)</f>
        <v>0.99999999999996458</v>
      </c>
      <c r="Q15" s="48">
        <f>POWER(0.75*LN(M15/5.37), 2*(N15-1)*O15)</f>
        <v>0.87949975552269399</v>
      </c>
      <c r="R15" s="48">
        <f>POWER(0.88*LN(3.41*('1 pompa'!$E$35/1000/'1 pompa'!$E$42)), 2*(N15-1)*(1-O15))</f>
        <v>3.7985670485573143E-2</v>
      </c>
      <c r="S15" s="48">
        <f>P15*Q15*R15</f>
        <v>3.340838790542601E-2</v>
      </c>
      <c r="T15" s="31">
        <f>'1 pompa'!$E$34*S15*POWER(L15, 2)/(2*9.81*'1 pompa'!$E$35/1000)</f>
        <v>0.14824072139986819</v>
      </c>
      <c r="U15" s="31">
        <f>POWER(L15, 2)*'1 pompa'!$E$39/(2*9.81)</f>
        <v>0.2749603900498262</v>
      </c>
      <c r="V15" s="31">
        <f>T15+U15</f>
        <v>0.42320111144969441</v>
      </c>
      <c r="X15" s="48">
        <f>E15/Y$12</f>
        <v>3.5999999999999997E-2</v>
      </c>
      <c r="Y15" s="5">
        <f>X15/'1 pompa'!$G$44</f>
        <v>1.4154281670205238</v>
      </c>
      <c r="Z15" s="11">
        <f>('1 pompa'!$E$44/1000)*Y15/'1 pompa'!$E$20</f>
        <v>253056.28730998634</v>
      </c>
      <c r="AA15" s="52">
        <f>1/(1+POWER((Z15/2712), 8.4))</f>
        <v>2.8353680841131264E-17</v>
      </c>
      <c r="AB15" s="48">
        <f>1/(1+(POWER(Z15/(150*(('1 pompa'!$E$44/1000)/'1 pompa'!$E$51)),1.8)))</f>
        <v>5.839639563913529E-2</v>
      </c>
      <c r="AC15" s="5">
        <f>POWER((64/Z15), AA15)</f>
        <v>0.99999999999999978</v>
      </c>
      <c r="AD15" s="48">
        <f>POWER(0.75*LN(Z15/5.37), 2*(AA15-1)*AB15)</f>
        <v>0.78357607340877178</v>
      </c>
      <c r="AE15" s="48">
        <f>POWER(0.88*LN(3.41*('1 pompa'!$E$44/1000/'1 pompa'!$E$51)), 2*(AA15-1)*(1-AB15))</f>
        <v>3.1621302900020125E-2</v>
      </c>
      <c r="AF15" s="48">
        <f>AC15*AD15*AE15</f>
        <v>2.4777696362467169E-2</v>
      </c>
      <c r="AG15" s="31">
        <f>'1 pompa'!$E$16*AF15*POWER(Y15, 2)/(2*9.81*'1 pompa'!$E$44/1000)</f>
        <v>35.140270054882912</v>
      </c>
      <c r="AH15" s="31">
        <f>POWER(Y15, 2)*'1 pompa'!$E$48/(2*9.81)</f>
        <v>0</v>
      </c>
      <c r="AI15" s="31">
        <f>AG15+AH15</f>
        <v>35.140270054882912</v>
      </c>
      <c r="AJ15" s="55">
        <f>AI15+V15+K$34</f>
        <v>45.822388363784839</v>
      </c>
    </row>
    <row r="16" spans="2:36" x14ac:dyDescent="0.25">
      <c r="B16" s="41"/>
      <c r="C16" t="s">
        <v>72</v>
      </c>
      <c r="D16" t="s">
        <v>48</v>
      </c>
      <c r="E16" s="44">
        <f t="shared" ref="E16:E29" si="0">G16/1000</f>
        <v>3.9E-2</v>
      </c>
      <c r="F16" s="47">
        <f t="shared" ref="F16:F23" si="1">E16*3600</f>
        <v>140.4</v>
      </c>
      <c r="G16" s="5">
        <f>'1 pompa'!G60*E$12</f>
        <v>39</v>
      </c>
      <c r="H16" s="54">
        <f>'1 pompa'!H60</f>
        <v>19.2</v>
      </c>
      <c r="I16" s="28"/>
      <c r="K16" s="48">
        <f t="shared" ref="K16:K29" si="2">E16/E$12</f>
        <v>1.2999999999999999E-2</v>
      </c>
      <c r="L16" s="5">
        <f>K16/'1 pompa'!$G$35</f>
        <v>1.3686371532347212</v>
      </c>
      <c r="M16" s="11">
        <f>('1 pompa'!$E$35/1000)*L16/'1 pompa'!$E$20</f>
        <v>149533.26068317375</v>
      </c>
      <c r="N16" s="52">
        <f t="shared" ref="N16:N29" si="3">1/(1+POWER((M16/2712), 8.4))</f>
        <v>2.3541590772179867E-15</v>
      </c>
      <c r="O16" s="48">
        <f>1/(1+(POWER(M16/(150*(('1 pompa'!$E$35/1000)/'1 pompa'!$E$42)),1.8)))</f>
        <v>2.7496181870216293E-2</v>
      </c>
      <c r="P16" s="5">
        <f t="shared" ref="P16:P29" si="4">POWER((64/M16), N16)</f>
        <v>0.99999999999998179</v>
      </c>
      <c r="Q16" s="48">
        <f t="shared" ref="Q16:Q29" si="5">POWER(0.75*LN(M16/5.37), 2*(N16-1)*O16)</f>
        <v>0.89397392237884998</v>
      </c>
      <c r="R16" s="48">
        <f>POWER(0.88*LN(3.41*('1 pompa'!$E$35/1000/'1 pompa'!$E$42)), 2*(N16-1)*(1-O16))</f>
        <v>3.7459961373150621E-2</v>
      </c>
      <c r="S16" s="48">
        <f t="shared" ref="S16:S29" si="6">P16*Q16*R16</f>
        <v>3.3488228600915063E-2</v>
      </c>
      <c r="T16" s="31">
        <f>'1 pompa'!$E$34*S16*POWER(L16, 2)/(2*9.81*'1 pompa'!$E$35/1000)</f>
        <v>0.17439273481411655</v>
      </c>
      <c r="U16" s="31">
        <f>POWER(L16, 2)*'1 pompa'!$E$39/(2*9.81)</f>
        <v>0.32269656887792114</v>
      </c>
      <c r="V16" s="31">
        <f t="shared" ref="V16:V29" si="7">T16+U16</f>
        <v>0.49708930369203769</v>
      </c>
      <c r="X16" s="48">
        <f t="shared" ref="X16:X29" si="8">E16/Y$12</f>
        <v>3.9E-2</v>
      </c>
      <c r="Y16" s="5">
        <f>X16/'1 pompa'!$G$44</f>
        <v>1.5333805142722341</v>
      </c>
      <c r="Z16" s="11">
        <f>('1 pompa'!$E$44/1000)*Y16/'1 pompa'!$E$20</f>
        <v>274144.3112524852</v>
      </c>
      <c r="AA16" s="52">
        <f t="shared" ref="AA16:AA29" si="9">1/(1+POWER((Z16/2712), 8.4))</f>
        <v>1.4474639424932307E-17</v>
      </c>
      <c r="AB16" s="48">
        <f>1/(1+(POWER(Z16/(150*(('1 pompa'!$E$44/1000)/'1 pompa'!$E$51)),1.8)))</f>
        <v>5.0960137730898018E-2</v>
      </c>
      <c r="AC16" s="5">
        <f t="shared" ref="AC16:AC29" si="10">POWER((64/Z16), AA16)</f>
        <v>0.99999999999999989</v>
      </c>
      <c r="AD16" s="48">
        <f t="shared" ref="AD16:AD29" si="11">POWER(0.75*LN(Z16/5.37), 2*(AA16-1)*AB16)</f>
        <v>0.80768300439236718</v>
      </c>
      <c r="AE16" s="48">
        <f>POWER(0.88*LN(3.41*('1 pompa'!$E$44/1000/'1 pompa'!$E$51)), 2*(AA16-1)*(1-AB16))</f>
        <v>3.0770421160544913E-2</v>
      </c>
      <c r="AF16" s="48">
        <f t="shared" ref="AF16:AF29" si="12">AC16*AD16*AE16</f>
        <v>2.4852746209367383E-2</v>
      </c>
      <c r="AG16" s="31">
        <f>'1 pompa'!$E$16*AF16*POWER(Y16, 2)/(2*9.81*'1 pompa'!$E$44/1000)</f>
        <v>41.365927419030591</v>
      </c>
      <c r="AH16" s="31">
        <f>POWER(Y16, 2)*'1 pompa'!$E$48/(2*9.81)</f>
        <v>0</v>
      </c>
      <c r="AI16" s="31">
        <f t="shared" ref="AI16:AI29" si="13">AG16+AH16</f>
        <v>41.365927419030591</v>
      </c>
      <c r="AJ16" s="55">
        <f t="shared" ref="AJ16:AJ29" si="14">AI16+V16+K$34</f>
        <v>52.121933920174861</v>
      </c>
    </row>
    <row r="17" spans="2:36" x14ac:dyDescent="0.25">
      <c r="B17" s="41"/>
      <c r="C17" t="s">
        <v>73</v>
      </c>
      <c r="D17" t="s">
        <v>48</v>
      </c>
      <c r="E17" s="44">
        <f t="shared" si="0"/>
        <v>4.2000000000000003E-2</v>
      </c>
      <c r="F17" s="47">
        <f t="shared" si="1"/>
        <v>151.20000000000002</v>
      </c>
      <c r="G17" s="5">
        <f>'1 pompa'!G61*E$12</f>
        <v>42</v>
      </c>
      <c r="H17" s="54">
        <f>'1 pompa'!H61</f>
        <v>18.899999999999999</v>
      </c>
      <c r="I17" s="28"/>
      <c r="K17" s="48">
        <f t="shared" si="2"/>
        <v>1.4E-2</v>
      </c>
      <c r="L17" s="5">
        <f>K17/'1 pompa'!$G$35</f>
        <v>1.4739169342527767</v>
      </c>
      <c r="M17" s="11">
        <f>('1 pompa'!$E$35/1000)*L17/'1 pompa'!$E$20</f>
        <v>161035.81919726403</v>
      </c>
      <c r="N17" s="52">
        <f t="shared" si="3"/>
        <v>1.2632359182284018E-15</v>
      </c>
      <c r="O17" s="48">
        <f>1/(1+(POWER(M17/(150*(('1 pompa'!$E$35/1000)/'1 pompa'!$E$42)),1.8)))</f>
        <v>2.4145365048296501E-2</v>
      </c>
      <c r="P17" s="5">
        <f t="shared" si="4"/>
        <v>0.99999999999999012</v>
      </c>
      <c r="Q17" s="48">
        <f t="shared" si="5"/>
        <v>0.9059522821164272</v>
      </c>
      <c r="R17" s="48">
        <f>POWER(0.88*LN(3.41*('1 pompa'!$E$35/1000/'1 pompa'!$E$42)), 2*(N17-1)*(1-O17))</f>
        <v>3.7038421602644152E-2</v>
      </c>
      <c r="S17" s="48">
        <f t="shared" si="6"/>
        <v>3.355504257690551E-2</v>
      </c>
      <c r="T17" s="31">
        <f>'1 pompa'!$E$34*S17*POWER(L17, 2)/(2*9.81*'1 pompa'!$E$35/1000)</f>
        <v>0.20265782327377574</v>
      </c>
      <c r="U17" s="31">
        <f>POWER(L17, 2)*'1 pompa'!$E$39/(2*9.81)</f>
        <v>0.37425164201226357</v>
      </c>
      <c r="V17" s="31">
        <f t="shared" si="7"/>
        <v>0.57690946528603937</v>
      </c>
      <c r="X17" s="48">
        <f t="shared" si="8"/>
        <v>4.2000000000000003E-2</v>
      </c>
      <c r="Y17" s="5">
        <f>X17/'1 pompa'!$G$44</f>
        <v>1.6513328615239447</v>
      </c>
      <c r="Z17" s="11">
        <f>('1 pompa'!$E$44/1000)*Y17/'1 pompa'!$E$20</f>
        <v>295232.3351949841</v>
      </c>
      <c r="AA17" s="52">
        <f t="shared" si="9"/>
        <v>7.7670555919217753E-18</v>
      </c>
      <c r="AB17" s="48">
        <f>1/(1+(POWER(Z17/(150*(('1 pompa'!$E$44/1000)/'1 pompa'!$E$51)),1.8)))</f>
        <v>4.4881855598063791E-2</v>
      </c>
      <c r="AC17" s="5">
        <f t="shared" si="10"/>
        <v>0.99999999999999989</v>
      </c>
      <c r="AD17" s="48">
        <f t="shared" si="11"/>
        <v>0.82801691480798068</v>
      </c>
      <c r="AE17" s="48">
        <f>POWER(0.88*LN(3.41*('1 pompa'!$E$44/1000/'1 pompa'!$E$51)), 2*(AA17-1)*(1-AB17))</f>
        <v>3.0091957662979653E-2</v>
      </c>
      <c r="AF17" s="48">
        <f t="shared" si="12"/>
        <v>2.4916649944632781E-2</v>
      </c>
      <c r="AG17" s="31">
        <f>'1 pompa'!$E$16*AF17*POWER(Y17, 2)/(2*9.81*'1 pompa'!$E$44/1000)</f>
        <v>48.098042108705108</v>
      </c>
      <c r="AH17" s="31">
        <f>POWER(Y17, 2)*'1 pompa'!$E$48/(2*9.81)</f>
        <v>0</v>
      </c>
      <c r="AI17" s="31">
        <f t="shared" si="13"/>
        <v>48.098042108705108</v>
      </c>
      <c r="AJ17" s="55">
        <f t="shared" si="14"/>
        <v>58.933868771443379</v>
      </c>
    </row>
    <row r="18" spans="2:36" x14ac:dyDescent="0.25">
      <c r="B18" s="41"/>
      <c r="C18" t="s">
        <v>74</v>
      </c>
      <c r="D18" t="s">
        <v>48</v>
      </c>
      <c r="E18" s="44">
        <f t="shared" si="0"/>
        <v>4.4999999999999998E-2</v>
      </c>
      <c r="F18" s="47">
        <f t="shared" si="1"/>
        <v>162</v>
      </c>
      <c r="G18" s="5">
        <f>'1 pompa'!G62*E$12</f>
        <v>45</v>
      </c>
      <c r="H18" s="54">
        <f>'1 pompa'!H62</f>
        <v>18.600000000000001</v>
      </c>
      <c r="I18" s="28"/>
      <c r="K18" s="48">
        <f t="shared" si="2"/>
        <v>1.4999999999999999E-2</v>
      </c>
      <c r="L18" s="5">
        <f>K18/'1 pompa'!$G$35</f>
        <v>1.5791967152708322</v>
      </c>
      <c r="M18" s="11">
        <f>('1 pompa'!$E$35/1000)*L18/'1 pompa'!$E$20</f>
        <v>172538.37771135432</v>
      </c>
      <c r="N18" s="52">
        <f t="shared" si="3"/>
        <v>7.0760906729933592E-16</v>
      </c>
      <c r="O18" s="48">
        <f>1/(1+(POWER(M18/(150*(('1 pompa'!$E$35/1000)/'1 pompa'!$E$42)),1.8)))</f>
        <v>2.1385841285824259E-2</v>
      </c>
      <c r="P18" s="5">
        <f t="shared" si="4"/>
        <v>0.99999999999999445</v>
      </c>
      <c r="Q18" s="48">
        <f t="shared" si="5"/>
        <v>0.91597529322290905</v>
      </c>
      <c r="R18" s="48">
        <f>POWER(0.88*LN(3.41*('1 pompa'!$E$35/1000/'1 pompa'!$E$42)), 2*(N18-1)*(1-O18))</f>
        <v>3.6694831971503056E-2</v>
      </c>
      <c r="S18" s="48">
        <f t="shared" si="6"/>
        <v>3.3611559474862704E-2</v>
      </c>
      <c r="T18" s="31">
        <f>'1 pompa'!$E$34*S18*POWER(L18, 2)/(2*9.81*'1 pompa'!$E$35/1000)</f>
        <v>0.23303475079153396</v>
      </c>
      <c r="U18" s="31">
        <f>POWER(L18, 2)*'1 pompa'!$E$39/(2*9.81)</f>
        <v>0.42962560945285355</v>
      </c>
      <c r="V18" s="31">
        <f t="shared" si="7"/>
        <v>0.66266036024438746</v>
      </c>
      <c r="X18" s="48">
        <f t="shared" si="8"/>
        <v>4.4999999999999998E-2</v>
      </c>
      <c r="Y18" s="5">
        <f>X18/'1 pompa'!$G$44</f>
        <v>1.7692852087756548</v>
      </c>
      <c r="Z18" s="11">
        <f>('1 pompa'!$E$44/1000)*Y18/'1 pompa'!$E$20</f>
        <v>316320.35913748294</v>
      </c>
      <c r="AA18" s="52">
        <f t="shared" si="9"/>
        <v>4.3507621052840689E-18</v>
      </c>
      <c r="AB18" s="48">
        <f>1/(1+(POWER(Z18/(150*(('1 pompa'!$E$44/1000)/'1 pompa'!$E$51)),1.8)))</f>
        <v>3.9849177766892126E-2</v>
      </c>
      <c r="AC18" s="5">
        <f t="shared" si="10"/>
        <v>1</v>
      </c>
      <c r="AD18" s="48">
        <f t="shared" si="11"/>
        <v>0.84530124558755171</v>
      </c>
      <c r="AE18" s="48">
        <f>POWER(0.88*LN(3.41*('1 pompa'!$E$44/1000/'1 pompa'!$E$51)), 2*(AA18-1)*(1-AB18))</f>
        <v>2.9541540732447177E-2</v>
      </c>
      <c r="AF18" s="48">
        <f t="shared" si="12"/>
        <v>2.4971501177712994E-2</v>
      </c>
      <c r="AG18" s="31">
        <f>'1 pompa'!$E$16*AF18*POWER(Y18, 2)/(2*9.81*'1 pompa'!$E$44/1000)</f>
        <v>55.336137931256808</v>
      </c>
      <c r="AH18" s="31">
        <f>POWER(Y18, 2)*'1 pompa'!$E$48/(2*9.81)</f>
        <v>0</v>
      </c>
      <c r="AI18" s="31">
        <f t="shared" si="13"/>
        <v>55.336137931256808</v>
      </c>
      <c r="AJ18" s="55">
        <f t="shared" si="14"/>
        <v>66.257715488953437</v>
      </c>
    </row>
    <row r="19" spans="2:36" x14ac:dyDescent="0.25">
      <c r="B19" s="41"/>
      <c r="C19" t="s">
        <v>75</v>
      </c>
      <c r="D19" t="s">
        <v>48</v>
      </c>
      <c r="E19" s="44">
        <f t="shared" si="0"/>
        <v>4.8000000000000001E-2</v>
      </c>
      <c r="F19" s="47">
        <f t="shared" si="1"/>
        <v>172.8</v>
      </c>
      <c r="G19" s="5">
        <f>'1 pompa'!G63*E$12</f>
        <v>48</v>
      </c>
      <c r="H19" s="54">
        <f>'1 pompa'!H63</f>
        <v>18.399999999999999</v>
      </c>
      <c r="I19" s="28"/>
      <c r="K19" s="48">
        <f t="shared" si="2"/>
        <v>1.6E-2</v>
      </c>
      <c r="L19" s="5">
        <f>K19/'1 pompa'!$G$35</f>
        <v>1.6844764962888878</v>
      </c>
      <c r="M19" s="11">
        <f>('1 pompa'!$E$35/1000)*L19/'1 pompa'!$E$20</f>
        <v>184040.93622544463</v>
      </c>
      <c r="N19" s="52">
        <f t="shared" si="3"/>
        <v>4.1148320237395639E-16</v>
      </c>
      <c r="O19" s="48">
        <f>1/(1+(POWER(M19/(150*(('1 pompa'!$E$35/1000)/'1 pompa'!$E$42)),1.8)))</f>
        <v>1.9085101449984116E-2</v>
      </c>
      <c r="P19" s="5">
        <f t="shared" si="4"/>
        <v>0.99999999999999667</v>
      </c>
      <c r="Q19" s="48">
        <f t="shared" si="5"/>
        <v>0.92444615604967595</v>
      </c>
      <c r="R19" s="48">
        <f>POWER(0.88*LN(3.41*('1 pompa'!$E$35/1000/'1 pompa'!$E$42)), 2*(N19-1)*(1-O19))</f>
        <v>3.6410803523916867E-2</v>
      </c>
      <c r="S19" s="48">
        <f t="shared" si="6"/>
        <v>3.365982735636483E-2</v>
      </c>
      <c r="T19" s="31">
        <f>'1 pompa'!$E$34*S19*POWER(L19, 2)/(2*9.81*'1 pompa'!$E$35/1000)</f>
        <v>0.26552251773830771</v>
      </c>
      <c r="U19" s="31">
        <f>POWER(L19, 2)*'1 pompa'!$E$39/(2*9.81)</f>
        <v>0.4888184711996913</v>
      </c>
      <c r="V19" s="31">
        <f t="shared" si="7"/>
        <v>0.75434098893799906</v>
      </c>
      <c r="X19" s="48">
        <f t="shared" si="8"/>
        <v>4.8000000000000001E-2</v>
      </c>
      <c r="Y19" s="5">
        <f>X19/'1 pompa'!$G$44</f>
        <v>1.8872375560273651</v>
      </c>
      <c r="Z19" s="11">
        <f>('1 pompa'!$E$44/1000)*Y19/'1 pompa'!$E$20</f>
        <v>337408.38307998184</v>
      </c>
      <c r="AA19" s="52">
        <f t="shared" si="9"/>
        <v>2.5300206096599084E-18</v>
      </c>
      <c r="AB19" s="48">
        <f>1/(1+(POWER(Z19/(150*(('1 pompa'!$E$44/1000)/'1 pompa'!$E$51)),1.8)))</f>
        <v>3.5634436685933892E-2</v>
      </c>
      <c r="AC19" s="5">
        <f t="shared" si="10"/>
        <v>1</v>
      </c>
      <c r="AD19" s="48">
        <f t="shared" si="11"/>
        <v>0.86010202730950025</v>
      </c>
      <c r="AE19" s="48">
        <f>POWER(0.88*LN(3.41*('1 pompa'!$E$44/1000/'1 pompa'!$E$51)), 2*(AA19-1)*(1-AB19))</f>
        <v>2.9088334452153215E-2</v>
      </c>
      <c r="AF19" s="48">
        <f t="shared" si="12"/>
        <v>2.5018935433353762E-2</v>
      </c>
      <c r="AG19" s="31">
        <f>'1 pompa'!$E$16*AF19*POWER(Y19, 2)/(2*9.81*'1 pompa'!$E$44/1000)</f>
        <v>63.079823241212132</v>
      </c>
      <c r="AH19" s="31">
        <f>POWER(Y19, 2)*'1 pompa'!$E$48/(2*9.81)</f>
        <v>0</v>
      </c>
      <c r="AI19" s="31">
        <f t="shared" si="13"/>
        <v>63.079823241212132</v>
      </c>
      <c r="AJ19" s="55">
        <f t="shared" si="14"/>
        <v>74.093081427602357</v>
      </c>
    </row>
    <row r="20" spans="2:36" x14ac:dyDescent="0.25">
      <c r="B20" s="41"/>
      <c r="C20" t="s">
        <v>76</v>
      </c>
      <c r="D20" t="s">
        <v>48</v>
      </c>
      <c r="E20" s="44">
        <f t="shared" si="0"/>
        <v>5.0999999999999997E-2</v>
      </c>
      <c r="F20" s="47">
        <f t="shared" si="1"/>
        <v>183.6</v>
      </c>
      <c r="G20" s="5">
        <f>'1 pompa'!G64*E$12</f>
        <v>51</v>
      </c>
      <c r="H20" s="54">
        <f>'1 pompa'!H64</f>
        <v>18.100000000000001</v>
      </c>
      <c r="I20" s="28"/>
      <c r="K20" s="48">
        <f t="shared" si="2"/>
        <v>1.6999999999999998E-2</v>
      </c>
      <c r="L20" s="5">
        <f>K20/'1 pompa'!$G$35</f>
        <v>1.7897562773069429</v>
      </c>
      <c r="M20" s="11">
        <f>('1 pompa'!$E$35/1000)*L20/'1 pompa'!$E$20</f>
        <v>195543.49473953489</v>
      </c>
      <c r="N20" s="52">
        <f t="shared" si="3"/>
        <v>2.4728001921999218E-16</v>
      </c>
      <c r="O20" s="48">
        <f>1/(1+(POWER(M20/(150*(('1 pompa'!$E$35/1000)/'1 pompa'!$E$42)),1.8)))</f>
        <v>1.714589299733791E-2</v>
      </c>
      <c r="P20" s="5">
        <f t="shared" si="4"/>
        <v>0.999999999999998</v>
      </c>
      <c r="Q20" s="48">
        <f t="shared" si="5"/>
        <v>0.93167002713793312</v>
      </c>
      <c r="R20" s="48">
        <f>POWER(0.88*LN(3.41*('1 pompa'!$E$35/1000/'1 pompa'!$E$42)), 2*(N20-1)*(1-O20))</f>
        <v>3.6173114565595355E-2</v>
      </c>
      <c r="S20" s="48">
        <f t="shared" si="6"/>
        <v>3.3701406628991723E-2</v>
      </c>
      <c r="T20" s="31">
        <f>'1 pompa'!$E$34*S20*POWER(L20, 2)/(2*9.81*'1 pompa'!$E$35/1000)</f>
        <v>0.30012030466080775</v>
      </c>
      <c r="U20" s="31">
        <f>POWER(L20, 2)*'1 pompa'!$E$39/(2*9.81)</f>
        <v>0.55183022725277631</v>
      </c>
      <c r="V20" s="31">
        <f t="shared" si="7"/>
        <v>0.85195053191358405</v>
      </c>
      <c r="X20" s="48">
        <f t="shared" si="8"/>
        <v>5.0999999999999997E-2</v>
      </c>
      <c r="Y20" s="5">
        <f>X20/'1 pompa'!$G$44</f>
        <v>2.0051899032790752</v>
      </c>
      <c r="Z20" s="11">
        <f>('1 pompa'!$E$44/1000)*Y20/'1 pompa'!$E$20</f>
        <v>358496.40702248062</v>
      </c>
      <c r="AA20" s="52">
        <f t="shared" si="9"/>
        <v>1.5204108973933544E-18</v>
      </c>
      <c r="AB20" s="48">
        <f>1/(1+(POWER(Z20/(150*(('1 pompa'!$E$44/1000)/'1 pompa'!$E$51)),1.8)))</f>
        <v>3.2068649497973889E-2</v>
      </c>
      <c r="AC20" s="5">
        <f t="shared" si="10"/>
        <v>1</v>
      </c>
      <c r="AD20" s="48">
        <f t="shared" si="11"/>
        <v>0.87286454106476885</v>
      </c>
      <c r="AE20" s="48">
        <f>POWER(0.88*LN(3.41*('1 pompa'!$E$44/1000/'1 pompa'!$E$51)), 2*(AA20-1)*(1-AB20))</f>
        <v>2.8710343129205368E-2</v>
      </c>
      <c r="AF20" s="48">
        <f t="shared" si="12"/>
        <v>2.5060240479285883E-2</v>
      </c>
      <c r="AG20" s="31">
        <f>'1 pompa'!$E$16*AF20*POWER(Y20, 2)/(2*9.81*'1 pompa'!$E$44/1000)</f>
        <v>71.328772945746408</v>
      </c>
      <c r="AH20" s="31">
        <f>POWER(Y20, 2)*'1 pompa'!$E$48/(2*9.81)</f>
        <v>0</v>
      </c>
      <c r="AI20" s="31">
        <f t="shared" si="13"/>
        <v>71.328772945746408</v>
      </c>
      <c r="AJ20" s="55">
        <f t="shared" si="14"/>
        <v>82.43964067511223</v>
      </c>
    </row>
    <row r="21" spans="2:36" x14ac:dyDescent="0.25">
      <c r="B21" s="41"/>
      <c r="C21" t="s">
        <v>77</v>
      </c>
      <c r="D21" t="s">
        <v>48</v>
      </c>
      <c r="E21" s="44">
        <f t="shared" si="0"/>
        <v>5.3999999999999999E-2</v>
      </c>
      <c r="F21" s="47">
        <f t="shared" si="1"/>
        <v>194.4</v>
      </c>
      <c r="G21" s="5">
        <f>'1 pompa'!G65*E$12</f>
        <v>54</v>
      </c>
      <c r="H21" s="54">
        <f>'1 pompa'!H65</f>
        <v>17.7</v>
      </c>
      <c r="I21" s="28"/>
      <c r="K21" s="48">
        <f t="shared" si="2"/>
        <v>1.7999999999999999E-2</v>
      </c>
      <c r="L21" s="5">
        <f>K21/'1 pompa'!$G$35</f>
        <v>1.8950360583249986</v>
      </c>
      <c r="M21" s="11">
        <f>('1 pompa'!$E$35/1000)*L21/'1 pompa'!$E$20</f>
        <v>207046.05325362517</v>
      </c>
      <c r="N21" s="52">
        <f t="shared" si="3"/>
        <v>1.5299277518951367E-16</v>
      </c>
      <c r="O21" s="48">
        <f>1/(1+(POWER(M21/(150*(('1 pompa'!$E$35/1000)/'1 pompa'!$E$42)),1.8)))</f>
        <v>1.549552503883652E-2</v>
      </c>
      <c r="P21" s="5">
        <f t="shared" si="4"/>
        <v>0.99999999999999878</v>
      </c>
      <c r="Q21" s="48">
        <f t="shared" si="5"/>
        <v>0.93788098385071583</v>
      </c>
      <c r="R21" s="48">
        <f>POWER(0.88*LN(3.41*('1 pompa'!$E$35/1000/'1 pompa'!$E$42)), 2*(N21-1)*(1-O21))</f>
        <v>3.5972051383242436E-2</v>
      </c>
      <c r="S21" s="48">
        <f t="shared" si="6"/>
        <v>3.3737502942443882E-2</v>
      </c>
      <c r="T21" s="31">
        <f>'1 pompa'!$E$34*S21*POWER(L21, 2)/(2*9.81*'1 pompa'!$E$35/1000)</f>
        <v>0.33682743161076023</v>
      </c>
      <c r="U21" s="31">
        <f>POWER(L21, 2)*'1 pompa'!$E$39/(2*9.81)</f>
        <v>0.61866087761210908</v>
      </c>
      <c r="V21" s="31">
        <f t="shared" si="7"/>
        <v>0.95548830922286931</v>
      </c>
      <c r="X21" s="48">
        <f t="shared" si="8"/>
        <v>5.3999999999999999E-2</v>
      </c>
      <c r="Y21" s="5">
        <f>X21/'1 pompa'!$G$44</f>
        <v>2.1231422505307855</v>
      </c>
      <c r="Z21" s="11">
        <f>('1 pompa'!$E$44/1000)*Y21/'1 pompa'!$E$20</f>
        <v>379584.43096497952</v>
      </c>
      <c r="AA21" s="52">
        <f t="shared" si="9"/>
        <v>9.4068207918426209E-19</v>
      </c>
      <c r="AB21" s="48">
        <f>1/(1+(POWER(Z21/(150*(('1 pompa'!$E$44/1000)/'1 pompa'!$E$51)),1.8)))</f>
        <v>2.9024317558902227E-2</v>
      </c>
      <c r="AC21" s="5">
        <f t="shared" si="10"/>
        <v>1</v>
      </c>
      <c r="AD21" s="48">
        <f t="shared" si="11"/>
        <v>0.88394142342048421</v>
      </c>
      <c r="AE21" s="48">
        <f>POWER(0.88*LN(3.41*('1 pompa'!$E$44/1000/'1 pompa'!$E$51)), 2*(AA21-1)*(1-AB21))</f>
        <v>2.8391518065808866E-2</v>
      </c>
      <c r="AF21" s="48">
        <f t="shared" si="12"/>
        <v>2.509643889215948E-2</v>
      </c>
      <c r="AG21" s="31">
        <f>'1 pompa'!$E$16*AF21*POWER(Y21, 2)/(2*9.81*'1 pompa'!$E$44/1000)</f>
        <v>80.082714759553681</v>
      </c>
      <c r="AH21" s="31">
        <f>POWER(Y21, 2)*'1 pompa'!$E$48/(2*9.81)</f>
        <v>0</v>
      </c>
      <c r="AI21" s="31">
        <f t="shared" si="13"/>
        <v>80.082714759553681</v>
      </c>
      <c r="AJ21" s="55">
        <f t="shared" si="14"/>
        <v>91.297120266228788</v>
      </c>
    </row>
    <row r="22" spans="2:36" x14ac:dyDescent="0.25">
      <c r="B22" s="41"/>
      <c r="C22" t="s">
        <v>78</v>
      </c>
      <c r="D22" t="s">
        <v>48</v>
      </c>
      <c r="E22" s="44">
        <f t="shared" si="0"/>
        <v>5.7000000000000002E-2</v>
      </c>
      <c r="F22" s="47">
        <f t="shared" si="1"/>
        <v>205.20000000000002</v>
      </c>
      <c r="G22" s="5">
        <f>'1 pompa'!G66*E$12</f>
        <v>57</v>
      </c>
      <c r="H22" s="54">
        <f>'1 pompa'!H66</f>
        <v>17.2</v>
      </c>
      <c r="I22" s="28"/>
      <c r="K22" s="48">
        <f t="shared" si="2"/>
        <v>1.9E-2</v>
      </c>
      <c r="L22" s="5">
        <f>K22/'1 pompa'!$G$35</f>
        <v>2.0003158393430542</v>
      </c>
      <c r="M22" s="11">
        <f>('1 pompa'!$E$35/1000)*L22/'1 pompa'!$E$20</f>
        <v>218548.61176771548</v>
      </c>
      <c r="N22" s="52">
        <f t="shared" si="3"/>
        <v>9.7147072409446307E-17</v>
      </c>
      <c r="O22" s="48">
        <f>1/(1+(POWER(M22/(150*(('1 pompa'!$E$35/1000)/'1 pompa'!$E$42)),1.8)))</f>
        <v>1.4078774265673985E-2</v>
      </c>
      <c r="P22" s="5">
        <f t="shared" si="4"/>
        <v>0.99999999999999922</v>
      </c>
      <c r="Q22" s="48">
        <f t="shared" si="5"/>
        <v>0.94326083467883248</v>
      </c>
      <c r="R22" s="48">
        <f>POWER(0.88*LN(3.41*('1 pompa'!$E$35/1000/'1 pompa'!$E$42)), 2*(N22-1)*(1-O22))</f>
        <v>3.5800341334698983E-2</v>
      </c>
      <c r="S22" s="48">
        <f t="shared" si="6"/>
        <v>3.3769059849155243E-2</v>
      </c>
      <c r="T22" s="31">
        <f>'1 pompa'!$E$34*S22*POWER(L22, 2)/(2*9.81*'1 pompa'!$E$35/1000)</f>
        <v>0.37564332820669888</v>
      </c>
      <c r="U22" s="31">
        <f>POWER(L22, 2)*'1 pompa'!$E$39/(2*9.81)</f>
        <v>0.68931042227768968</v>
      </c>
      <c r="V22" s="31">
        <f t="shared" si="7"/>
        <v>1.0649537504843885</v>
      </c>
      <c r="X22" s="48">
        <f t="shared" si="8"/>
        <v>5.7000000000000002E-2</v>
      </c>
      <c r="Y22" s="5">
        <f>X22/'1 pompa'!$G$44</f>
        <v>2.2410945977824963</v>
      </c>
      <c r="Z22" s="11">
        <f>('1 pompa'!$E$44/1000)*Y22/'1 pompa'!$E$20</f>
        <v>400672.45490747847</v>
      </c>
      <c r="AA22" s="52">
        <f t="shared" si="9"/>
        <v>5.9731258517001056E-19</v>
      </c>
      <c r="AB22" s="48">
        <f>1/(1+(POWER(Z22/(150*(('1 pompa'!$E$44/1000)/'1 pompa'!$E$51)),1.8)))</f>
        <v>2.6403807509637233E-2</v>
      </c>
      <c r="AC22" s="5">
        <f t="shared" si="10"/>
        <v>1</v>
      </c>
      <c r="AD22" s="48">
        <f t="shared" si="11"/>
        <v>0.89361397442578361</v>
      </c>
      <c r="AE22" s="48">
        <f>POWER(0.88*LN(3.41*('1 pompa'!$E$44/1000/'1 pompa'!$E$51)), 2*(AA22-1)*(1-AB22))</f>
        <v>2.8119915723177284E-2</v>
      </c>
      <c r="AF22" s="48">
        <f t="shared" si="12"/>
        <v>2.5128349649906536E-2</v>
      </c>
      <c r="AG22" s="31">
        <f>'1 pompa'!$E$16*AF22*POWER(Y22, 2)/(2*9.81*'1 pompa'!$E$44/1000)</f>
        <v>89.341418665169172</v>
      </c>
      <c r="AH22" s="31">
        <f>POWER(Y22, 2)*'1 pompa'!$E$48/(2*9.81)</f>
        <v>0</v>
      </c>
      <c r="AI22" s="31">
        <f t="shared" si="13"/>
        <v>89.341418665169172</v>
      </c>
      <c r="AJ22" s="55">
        <f t="shared" si="14"/>
        <v>100.6652896131058</v>
      </c>
    </row>
    <row r="23" spans="2:36" x14ac:dyDescent="0.25">
      <c r="B23" s="41"/>
      <c r="C23" t="s">
        <v>79</v>
      </c>
      <c r="D23" t="s">
        <v>48</v>
      </c>
      <c r="E23" s="44">
        <f t="shared" si="0"/>
        <v>0.06</v>
      </c>
      <c r="F23" s="47">
        <f t="shared" si="1"/>
        <v>216</v>
      </c>
      <c r="G23" s="5">
        <f>'1 pompa'!G67*E$12</f>
        <v>60</v>
      </c>
      <c r="H23" s="54">
        <f>'1 pompa'!H67</f>
        <v>16.600000000000001</v>
      </c>
      <c r="I23" s="28"/>
      <c r="K23" s="48">
        <f t="shared" si="2"/>
        <v>0.02</v>
      </c>
      <c r="L23" s="5">
        <f>K23/'1 pompa'!$G$35</f>
        <v>2.1055956203611097</v>
      </c>
      <c r="M23" s="11">
        <f>('1 pompa'!$E$35/1000)*L23/'1 pompa'!$E$20</f>
        <v>230051.17028180577</v>
      </c>
      <c r="N23" s="52">
        <f t="shared" si="3"/>
        <v>6.3140497838026637E-17</v>
      </c>
      <c r="O23" s="48">
        <f>1/(1+(POWER(M23/(150*(('1 pompa'!$E$35/1000)/'1 pompa'!$E$42)),1.8)))</f>
        <v>1.2853071315621294E-2</v>
      </c>
      <c r="P23" s="5">
        <f t="shared" si="4"/>
        <v>0.99999999999999944</v>
      </c>
      <c r="Q23" s="48">
        <f t="shared" si="5"/>
        <v>0.94795243100819238</v>
      </c>
      <c r="R23" s="48">
        <f>POWER(0.88*LN(3.41*('1 pompa'!$E$35/1000/'1 pompa'!$E$42)), 2*(N23-1)*(1-O23))</f>
        <v>3.5652447710009055E-2</v>
      </c>
      <c r="S23" s="48">
        <f t="shared" si="6"/>
        <v>3.3796824478095525E-2</v>
      </c>
      <c r="T23" s="31">
        <f>'1 pompa'!$E$34*S23*POWER(L23, 2)/(2*9.81*'1 pompa'!$E$35/1000)</f>
        <v>0.41656751124899871</v>
      </c>
      <c r="U23" s="31">
        <f>POWER(L23, 2)*'1 pompa'!$E$39/(2*9.81)</f>
        <v>0.76377886124951755</v>
      </c>
      <c r="V23" s="31">
        <f t="shared" si="7"/>
        <v>1.1803463724985161</v>
      </c>
      <c r="X23" s="48">
        <f t="shared" si="8"/>
        <v>0.06</v>
      </c>
      <c r="Y23" s="5">
        <f>X23/'1 pompa'!$G$44</f>
        <v>2.3590469450342062</v>
      </c>
      <c r="Z23" s="11">
        <f>('1 pompa'!$E$44/1000)*Y23/'1 pompa'!$E$20</f>
        <v>421760.4788499772</v>
      </c>
      <c r="AA23" s="52">
        <f t="shared" si="9"/>
        <v>3.8822182755644101E-19</v>
      </c>
      <c r="AB23" s="48">
        <f>1/(1+(POWER(Z23/(150*(('1 pompa'!$E$44/1000)/'1 pompa'!$E$51)),1.8)))</f>
        <v>2.4131346119251874E-2</v>
      </c>
      <c r="AC23" s="5">
        <f t="shared" si="10"/>
        <v>1</v>
      </c>
      <c r="AD23" s="48">
        <f t="shared" si="11"/>
        <v>0.90210826374493691</v>
      </c>
      <c r="AE23" s="48">
        <f>POWER(0.88*LN(3.41*('1 pompa'!$E$44/1000/'1 pompa'!$E$51)), 2*(AA23-1)*(1-AB23))</f>
        <v>2.7886491237756453E-2</v>
      </c>
      <c r="AF23" s="48">
        <f t="shared" si="12"/>
        <v>2.515663419243087E-2</v>
      </c>
      <c r="AG23" s="31">
        <f>'1 pompa'!$E$16*AF23*POWER(Y23, 2)/(2*9.81*'1 pompa'!$E$44/1000)</f>
        <v>99.104688778471882</v>
      </c>
      <c r="AH23" s="31">
        <f>POWER(Y23, 2)*'1 pompa'!$E$48/(2*9.81)</f>
        <v>0</v>
      </c>
      <c r="AI23" s="31">
        <f t="shared" si="13"/>
        <v>99.104688778471882</v>
      </c>
      <c r="AJ23" s="55">
        <f t="shared" si="14"/>
        <v>110.54395234842264</v>
      </c>
    </row>
    <row r="24" spans="2:36" x14ac:dyDescent="0.25">
      <c r="C24" t="s">
        <v>80</v>
      </c>
      <c r="D24" t="s">
        <v>48</v>
      </c>
      <c r="E24" s="44">
        <f t="shared" si="0"/>
        <v>0</v>
      </c>
      <c r="F24" s="48"/>
      <c r="G24" s="5">
        <f>'1 pompa'!G68*E$12</f>
        <v>0</v>
      </c>
      <c r="H24" s="54">
        <f>'1 pompa'!H68</f>
        <v>0</v>
      </c>
      <c r="K24" s="48">
        <f t="shared" si="2"/>
        <v>0</v>
      </c>
      <c r="L24" s="5">
        <f>K24/'1 pompa'!$G$35</f>
        <v>0</v>
      </c>
      <c r="M24" s="11">
        <f>('1 pompa'!$E$35/1000)*L24/'1 pompa'!$E$20</f>
        <v>0</v>
      </c>
      <c r="N24" s="52">
        <f t="shared" si="3"/>
        <v>1</v>
      </c>
      <c r="O24" s="48">
        <f>1/(1+(POWER(M24/(150*(('1 pompa'!$E$35/1000)/'1 pompa'!$E$42)),1.8)))</f>
        <v>1</v>
      </c>
      <c r="P24" s="5" t="e">
        <f t="shared" si="4"/>
        <v>#DIV/0!</v>
      </c>
      <c r="Q24" s="48" t="e">
        <f t="shared" si="5"/>
        <v>#NUM!</v>
      </c>
      <c r="R24" s="48">
        <f>POWER(0.88*LN(3.41*('1 pompa'!$E$35/1000/'1 pompa'!$E$42)), 2*(N24-1)*(1-O24))</f>
        <v>1</v>
      </c>
      <c r="S24" s="48" t="e">
        <f t="shared" si="6"/>
        <v>#DIV/0!</v>
      </c>
      <c r="T24" s="31" t="e">
        <f>'1 pompa'!$E$34*S24*POWER(L24, 2)/(2*9.81*'1 pompa'!$E$35/1000)</f>
        <v>#DIV/0!</v>
      </c>
      <c r="U24" s="31">
        <f>POWER(L24, 2)*'1 pompa'!$E$39/(2*9.81)</f>
        <v>0</v>
      </c>
      <c r="V24" s="31" t="e">
        <f t="shared" si="7"/>
        <v>#DIV/0!</v>
      </c>
      <c r="X24" s="48">
        <f t="shared" si="8"/>
        <v>0</v>
      </c>
      <c r="Y24" s="5">
        <f>X24/'1 pompa'!$G$44</f>
        <v>0</v>
      </c>
      <c r="Z24" s="11">
        <f>('1 pompa'!$E$44/1000)*Y24/'1 pompa'!$E$20</f>
        <v>0</v>
      </c>
      <c r="AA24" s="52">
        <f t="shared" si="9"/>
        <v>1</v>
      </c>
      <c r="AB24" s="48">
        <f>1/(1+(POWER(Z24/(150*(('1 pompa'!$E$44/1000)/'1 pompa'!$E$51)),1.8)))</f>
        <v>1</v>
      </c>
      <c r="AC24" s="5" t="e">
        <f t="shared" si="10"/>
        <v>#DIV/0!</v>
      </c>
      <c r="AD24" s="48" t="e">
        <f t="shared" si="11"/>
        <v>#NUM!</v>
      </c>
      <c r="AE24" s="48">
        <f>POWER(0.88*LN(3.41*('1 pompa'!$E$44/1000/'1 pompa'!$E$51)), 2*(AA24-1)*(1-AB24))</f>
        <v>1</v>
      </c>
      <c r="AF24" s="48" t="e">
        <f t="shared" si="12"/>
        <v>#DIV/0!</v>
      </c>
      <c r="AG24" s="31" t="e">
        <f>'1 pompa'!$E$16*AF24*POWER(Y24, 2)/(2*9.81*'1 pompa'!$E$44/1000)</f>
        <v>#DIV/0!</v>
      </c>
      <c r="AH24" s="31">
        <f>POWER(Y24, 2)*'1 pompa'!$E$48/(2*9.81)</f>
        <v>0</v>
      </c>
      <c r="AI24" s="31" t="e">
        <f t="shared" si="13"/>
        <v>#DIV/0!</v>
      </c>
      <c r="AJ24" s="55" t="e">
        <f t="shared" si="14"/>
        <v>#DIV/0!</v>
      </c>
    </row>
    <row r="25" spans="2:36" x14ac:dyDescent="0.25">
      <c r="C25" t="s">
        <v>81</v>
      </c>
      <c r="D25" t="s">
        <v>48</v>
      </c>
      <c r="E25" s="44">
        <f t="shared" si="0"/>
        <v>0</v>
      </c>
      <c r="F25" s="48"/>
      <c r="G25" s="5">
        <f>'1 pompa'!G69*E$12</f>
        <v>0</v>
      </c>
      <c r="H25" s="54">
        <f>'1 pompa'!H69</f>
        <v>0</v>
      </c>
      <c r="K25" s="48">
        <f t="shared" si="2"/>
        <v>0</v>
      </c>
      <c r="L25" s="5">
        <f>K25/'1 pompa'!$G$35</f>
        <v>0</v>
      </c>
      <c r="M25" s="11">
        <f>('1 pompa'!$E$35/1000)*L25/'1 pompa'!$E$20</f>
        <v>0</v>
      </c>
      <c r="N25" s="52">
        <f t="shared" si="3"/>
        <v>1</v>
      </c>
      <c r="O25" s="48">
        <f>1/(1+(POWER(M25/(150*(('1 pompa'!$E$35/1000)/'1 pompa'!$E$42)),1.8)))</f>
        <v>1</v>
      </c>
      <c r="P25" s="5" t="e">
        <f t="shared" si="4"/>
        <v>#DIV/0!</v>
      </c>
      <c r="Q25" s="48" t="e">
        <f t="shared" si="5"/>
        <v>#NUM!</v>
      </c>
      <c r="R25" s="48">
        <f>POWER(0.88*LN(3.41*('1 pompa'!$E$35/1000/'1 pompa'!$E$42)), 2*(N25-1)*(1-O25))</f>
        <v>1</v>
      </c>
      <c r="S25" s="48" t="e">
        <f t="shared" si="6"/>
        <v>#DIV/0!</v>
      </c>
      <c r="T25" s="31" t="e">
        <f>'1 pompa'!$E$34*S25*POWER(L25, 2)/(2*9.81*'1 pompa'!$E$35/1000)</f>
        <v>#DIV/0!</v>
      </c>
      <c r="U25" s="31">
        <f>POWER(L25, 2)*'1 pompa'!$E$39/(2*9.81)</f>
        <v>0</v>
      </c>
      <c r="V25" s="31" t="e">
        <f t="shared" si="7"/>
        <v>#DIV/0!</v>
      </c>
      <c r="X25" s="48">
        <f t="shared" si="8"/>
        <v>0</v>
      </c>
      <c r="Y25" s="5">
        <f>X25/'1 pompa'!$G$44</f>
        <v>0</v>
      </c>
      <c r="Z25" s="11">
        <f>('1 pompa'!$E$44/1000)*Y25/'1 pompa'!$E$20</f>
        <v>0</v>
      </c>
      <c r="AA25" s="52">
        <f t="shared" si="9"/>
        <v>1</v>
      </c>
      <c r="AB25" s="48">
        <f>1/(1+(POWER(Z25/(150*(('1 pompa'!$E$44/1000)/'1 pompa'!$E$51)),1.8)))</f>
        <v>1</v>
      </c>
      <c r="AC25" s="5" t="e">
        <f t="shared" si="10"/>
        <v>#DIV/0!</v>
      </c>
      <c r="AD25" s="48" t="e">
        <f t="shared" si="11"/>
        <v>#NUM!</v>
      </c>
      <c r="AE25" s="48">
        <f>POWER(0.88*LN(3.41*('1 pompa'!$E$44/1000/'1 pompa'!$E$51)), 2*(AA25-1)*(1-AB25))</f>
        <v>1</v>
      </c>
      <c r="AF25" s="48" t="e">
        <f t="shared" si="12"/>
        <v>#DIV/0!</v>
      </c>
      <c r="AG25" s="31" t="e">
        <f>'1 pompa'!$E$16*AF25*POWER(Y25, 2)/(2*9.81*'1 pompa'!$E$44/1000)</f>
        <v>#DIV/0!</v>
      </c>
      <c r="AH25" s="31">
        <f>POWER(Y25, 2)*'1 pompa'!$E$48/(2*9.81)</f>
        <v>0</v>
      </c>
      <c r="AI25" s="31" t="e">
        <f t="shared" si="13"/>
        <v>#DIV/0!</v>
      </c>
      <c r="AJ25" s="55" t="e">
        <f t="shared" si="14"/>
        <v>#DIV/0!</v>
      </c>
    </row>
    <row r="26" spans="2:36" x14ac:dyDescent="0.25">
      <c r="C26" t="s">
        <v>82</v>
      </c>
      <c r="D26" t="s">
        <v>48</v>
      </c>
      <c r="E26" s="44">
        <f t="shared" si="0"/>
        <v>0</v>
      </c>
      <c r="F26" s="48"/>
      <c r="G26" s="5">
        <f>'1 pompa'!G70*E$12</f>
        <v>0</v>
      </c>
      <c r="H26" s="54">
        <f>'1 pompa'!H70</f>
        <v>0</v>
      </c>
      <c r="K26" s="48">
        <f t="shared" si="2"/>
        <v>0</v>
      </c>
      <c r="L26" s="5">
        <f>K26/'1 pompa'!$G$35</f>
        <v>0</v>
      </c>
      <c r="M26" s="11">
        <f>('1 pompa'!$E$35/1000)*L26/'1 pompa'!$E$20</f>
        <v>0</v>
      </c>
      <c r="N26" s="52">
        <f t="shared" si="3"/>
        <v>1</v>
      </c>
      <c r="O26" s="48">
        <f>1/(1+(POWER(M26/(150*(('1 pompa'!$E$35/1000)/'1 pompa'!$E$42)),1.8)))</f>
        <v>1</v>
      </c>
      <c r="P26" s="5" t="e">
        <f t="shared" si="4"/>
        <v>#DIV/0!</v>
      </c>
      <c r="Q26" s="48" t="e">
        <f t="shared" si="5"/>
        <v>#NUM!</v>
      </c>
      <c r="R26" s="48">
        <f>POWER(0.88*LN(3.41*('1 pompa'!$E$35/1000/'1 pompa'!$E$42)), 2*(N26-1)*(1-O26))</f>
        <v>1</v>
      </c>
      <c r="S26" s="48" t="e">
        <f t="shared" si="6"/>
        <v>#DIV/0!</v>
      </c>
      <c r="T26" s="31" t="e">
        <f>'1 pompa'!$E$34*S26*POWER(L26, 2)/(2*9.81*'1 pompa'!$E$35/1000)</f>
        <v>#DIV/0!</v>
      </c>
      <c r="U26" s="31">
        <f>POWER(L26, 2)*'1 pompa'!$E$39/(2*9.81)</f>
        <v>0</v>
      </c>
      <c r="V26" s="31" t="e">
        <f t="shared" si="7"/>
        <v>#DIV/0!</v>
      </c>
      <c r="X26" s="48">
        <f t="shared" si="8"/>
        <v>0</v>
      </c>
      <c r="Y26" s="5">
        <f>X26/'1 pompa'!$G$44</f>
        <v>0</v>
      </c>
      <c r="Z26" s="11">
        <f>('1 pompa'!$E$44/1000)*Y26/'1 pompa'!$E$20</f>
        <v>0</v>
      </c>
      <c r="AA26" s="52">
        <f t="shared" si="9"/>
        <v>1</v>
      </c>
      <c r="AB26" s="48">
        <f>1/(1+(POWER(Z26/(150*(('1 pompa'!$E$44/1000)/'1 pompa'!$E$51)),1.8)))</f>
        <v>1</v>
      </c>
      <c r="AC26" s="5" t="e">
        <f t="shared" si="10"/>
        <v>#DIV/0!</v>
      </c>
      <c r="AD26" s="48" t="e">
        <f t="shared" si="11"/>
        <v>#NUM!</v>
      </c>
      <c r="AE26" s="48">
        <f>POWER(0.88*LN(3.41*('1 pompa'!$E$44/1000/'1 pompa'!$E$51)), 2*(AA26-1)*(1-AB26))</f>
        <v>1</v>
      </c>
      <c r="AF26" s="48" t="e">
        <f t="shared" si="12"/>
        <v>#DIV/0!</v>
      </c>
      <c r="AG26" s="31" t="e">
        <f>'1 pompa'!$E$16*AF26*POWER(Y26, 2)/(2*9.81*'1 pompa'!$E$44/1000)</f>
        <v>#DIV/0!</v>
      </c>
      <c r="AH26" s="31">
        <f>POWER(Y26, 2)*'1 pompa'!$E$48/(2*9.81)</f>
        <v>0</v>
      </c>
      <c r="AI26" s="31" t="e">
        <f t="shared" si="13"/>
        <v>#DIV/0!</v>
      </c>
      <c r="AJ26" s="55" t="e">
        <f t="shared" si="14"/>
        <v>#DIV/0!</v>
      </c>
    </row>
    <row r="27" spans="2:36" x14ac:dyDescent="0.25">
      <c r="C27" t="s">
        <v>83</v>
      </c>
      <c r="D27" t="s">
        <v>48</v>
      </c>
      <c r="E27" s="44">
        <f t="shared" si="0"/>
        <v>0</v>
      </c>
      <c r="F27" s="48"/>
      <c r="G27" s="5">
        <f>'1 pompa'!G71*E$12</f>
        <v>0</v>
      </c>
      <c r="H27" s="54">
        <f>'1 pompa'!H71</f>
        <v>0</v>
      </c>
      <c r="K27" s="48">
        <f t="shared" si="2"/>
        <v>0</v>
      </c>
      <c r="L27" s="5">
        <f>K27/'1 pompa'!$G$35</f>
        <v>0</v>
      </c>
      <c r="M27" s="11">
        <f>('1 pompa'!$E$35/1000)*L27/'1 pompa'!$E$20</f>
        <v>0</v>
      </c>
      <c r="N27" s="52">
        <f t="shared" si="3"/>
        <v>1</v>
      </c>
      <c r="O27" s="48">
        <f>1/(1+(POWER(M27/(150*(('1 pompa'!$E$35/1000)/'1 pompa'!$E$42)),1.8)))</f>
        <v>1</v>
      </c>
      <c r="P27" s="5" t="e">
        <f t="shared" si="4"/>
        <v>#DIV/0!</v>
      </c>
      <c r="Q27" s="48" t="e">
        <f t="shared" si="5"/>
        <v>#NUM!</v>
      </c>
      <c r="R27" s="48">
        <f>POWER(0.88*LN(3.41*('1 pompa'!$E$35/1000/'1 pompa'!$E$42)), 2*(N27-1)*(1-O27))</f>
        <v>1</v>
      </c>
      <c r="S27" s="48" t="e">
        <f t="shared" si="6"/>
        <v>#DIV/0!</v>
      </c>
      <c r="T27" s="31" t="e">
        <f>'1 pompa'!$E$34*S27*POWER(L27, 2)/(2*9.81*'1 pompa'!$E$35/1000)</f>
        <v>#DIV/0!</v>
      </c>
      <c r="U27" s="31">
        <f>POWER(L27, 2)*'1 pompa'!$E$39/(2*9.81)</f>
        <v>0</v>
      </c>
      <c r="V27" s="31" t="e">
        <f t="shared" si="7"/>
        <v>#DIV/0!</v>
      </c>
      <c r="X27" s="48">
        <f t="shared" si="8"/>
        <v>0</v>
      </c>
      <c r="Y27" s="5">
        <f>X27/'1 pompa'!$G$44</f>
        <v>0</v>
      </c>
      <c r="Z27" s="11">
        <f>('1 pompa'!$E$44/1000)*Y27/'1 pompa'!$E$20</f>
        <v>0</v>
      </c>
      <c r="AA27" s="52">
        <f t="shared" si="9"/>
        <v>1</v>
      </c>
      <c r="AB27" s="48">
        <f>1/(1+(POWER(Z27/(150*(('1 pompa'!$E$44/1000)/'1 pompa'!$E$51)),1.8)))</f>
        <v>1</v>
      </c>
      <c r="AC27" s="5" t="e">
        <f t="shared" si="10"/>
        <v>#DIV/0!</v>
      </c>
      <c r="AD27" s="48" t="e">
        <f t="shared" si="11"/>
        <v>#NUM!</v>
      </c>
      <c r="AE27" s="48">
        <f>POWER(0.88*LN(3.41*('1 pompa'!$E$44/1000/'1 pompa'!$E$51)), 2*(AA27-1)*(1-AB27))</f>
        <v>1</v>
      </c>
      <c r="AF27" s="48" t="e">
        <f t="shared" si="12"/>
        <v>#DIV/0!</v>
      </c>
      <c r="AG27" s="31" t="e">
        <f>'1 pompa'!$E$16*AF27*POWER(Y27, 2)/(2*9.81*'1 pompa'!$E$44/1000)</f>
        <v>#DIV/0!</v>
      </c>
      <c r="AH27" s="31">
        <f>POWER(Y27, 2)*'1 pompa'!$E$48/(2*9.81)</f>
        <v>0</v>
      </c>
      <c r="AI27" s="31" t="e">
        <f t="shared" si="13"/>
        <v>#DIV/0!</v>
      </c>
      <c r="AJ27" s="55" t="e">
        <f t="shared" si="14"/>
        <v>#DIV/0!</v>
      </c>
    </row>
    <row r="28" spans="2:36" x14ac:dyDescent="0.25">
      <c r="C28" t="s">
        <v>84</v>
      </c>
      <c r="D28" t="s">
        <v>48</v>
      </c>
      <c r="E28" s="44">
        <f t="shared" si="0"/>
        <v>0</v>
      </c>
      <c r="F28" s="48"/>
      <c r="G28" s="5">
        <f>'1 pompa'!G72*E$12</f>
        <v>0</v>
      </c>
      <c r="H28" s="54">
        <f>'1 pompa'!H72</f>
        <v>0</v>
      </c>
      <c r="K28" s="48">
        <f t="shared" si="2"/>
        <v>0</v>
      </c>
      <c r="L28" s="5">
        <f>K28/'1 pompa'!$G$35</f>
        <v>0</v>
      </c>
      <c r="M28" s="11">
        <f>('1 pompa'!$E$35/1000)*L28/'1 pompa'!$E$20</f>
        <v>0</v>
      </c>
      <c r="N28" s="52">
        <f t="shared" si="3"/>
        <v>1</v>
      </c>
      <c r="O28" s="48">
        <f>1/(1+(POWER(M28/(150*(('1 pompa'!$E$35/1000)/'1 pompa'!$E$42)),1.8)))</f>
        <v>1</v>
      </c>
      <c r="P28" s="5" t="e">
        <f t="shared" si="4"/>
        <v>#DIV/0!</v>
      </c>
      <c r="Q28" s="48" t="e">
        <f t="shared" si="5"/>
        <v>#NUM!</v>
      </c>
      <c r="R28" s="48">
        <f>POWER(0.88*LN(3.41*('1 pompa'!$E$35/1000/'1 pompa'!$E$42)), 2*(N28-1)*(1-O28))</f>
        <v>1</v>
      </c>
      <c r="S28" s="48" t="e">
        <f t="shared" si="6"/>
        <v>#DIV/0!</v>
      </c>
      <c r="T28" s="31" t="e">
        <f>'1 pompa'!$E$34*S28*POWER(L28, 2)/(2*9.81*'1 pompa'!$E$35/1000)</f>
        <v>#DIV/0!</v>
      </c>
      <c r="U28" s="31">
        <f>POWER(L28, 2)*'1 pompa'!$E$39/(2*9.81)</f>
        <v>0</v>
      </c>
      <c r="V28" s="31" t="e">
        <f t="shared" si="7"/>
        <v>#DIV/0!</v>
      </c>
      <c r="X28" s="48">
        <f t="shared" si="8"/>
        <v>0</v>
      </c>
      <c r="Y28" s="5">
        <f>X28/'1 pompa'!$G$44</f>
        <v>0</v>
      </c>
      <c r="Z28" s="11">
        <f>('1 pompa'!$E$44/1000)*Y28/'1 pompa'!$E$20</f>
        <v>0</v>
      </c>
      <c r="AA28" s="52">
        <f t="shared" si="9"/>
        <v>1</v>
      </c>
      <c r="AB28" s="48">
        <f>1/(1+(POWER(Z28/(150*(('1 pompa'!$E$44/1000)/'1 pompa'!$E$51)),1.8)))</f>
        <v>1</v>
      </c>
      <c r="AC28" s="5" t="e">
        <f t="shared" si="10"/>
        <v>#DIV/0!</v>
      </c>
      <c r="AD28" s="48" t="e">
        <f t="shared" si="11"/>
        <v>#NUM!</v>
      </c>
      <c r="AE28" s="48">
        <f>POWER(0.88*LN(3.41*('1 pompa'!$E$44/1000/'1 pompa'!$E$51)), 2*(AA28-1)*(1-AB28))</f>
        <v>1</v>
      </c>
      <c r="AF28" s="48" t="e">
        <f t="shared" si="12"/>
        <v>#DIV/0!</v>
      </c>
      <c r="AG28" s="31" t="e">
        <f>'1 pompa'!$E$16*AF28*POWER(Y28, 2)/(2*9.81*'1 pompa'!$E$44/1000)</f>
        <v>#DIV/0!</v>
      </c>
      <c r="AH28" s="31">
        <f>POWER(Y28, 2)*'1 pompa'!$E$48/(2*9.81)</f>
        <v>0</v>
      </c>
      <c r="AI28" s="31" t="e">
        <f t="shared" si="13"/>
        <v>#DIV/0!</v>
      </c>
      <c r="AJ28" s="55" t="e">
        <f t="shared" si="14"/>
        <v>#DIV/0!</v>
      </c>
    </row>
    <row r="29" spans="2:36" x14ac:dyDescent="0.25">
      <c r="C29" t="s">
        <v>85</v>
      </c>
      <c r="D29" t="s">
        <v>48</v>
      </c>
      <c r="E29" s="44">
        <f t="shared" si="0"/>
        <v>0</v>
      </c>
      <c r="F29" s="48"/>
      <c r="G29" s="5">
        <f>'1 pompa'!G73*E$12</f>
        <v>0</v>
      </c>
      <c r="H29" s="54">
        <f>'1 pompa'!H73</f>
        <v>0</v>
      </c>
      <c r="K29" s="48">
        <f t="shared" si="2"/>
        <v>0</v>
      </c>
      <c r="L29" s="5">
        <f>K29/'1 pompa'!$G$35</f>
        <v>0</v>
      </c>
      <c r="M29" s="11">
        <f>('1 pompa'!$E$35/1000)*L29/'1 pompa'!$E$20</f>
        <v>0</v>
      </c>
      <c r="N29" s="52">
        <f t="shared" si="3"/>
        <v>1</v>
      </c>
      <c r="O29" s="48">
        <f>1/(1+(POWER(M29/(150*(('1 pompa'!$E$35/1000)/'1 pompa'!$E$42)),1.8)))</f>
        <v>1</v>
      </c>
      <c r="P29" s="5" t="e">
        <f t="shared" si="4"/>
        <v>#DIV/0!</v>
      </c>
      <c r="Q29" s="48" t="e">
        <f t="shared" si="5"/>
        <v>#NUM!</v>
      </c>
      <c r="R29" s="48">
        <f>POWER(0.88*LN(3.41*('1 pompa'!$E$35/1000/'1 pompa'!$E$42)), 2*(N29-1)*(1-O29))</f>
        <v>1</v>
      </c>
      <c r="S29" s="48" t="e">
        <f t="shared" si="6"/>
        <v>#DIV/0!</v>
      </c>
      <c r="T29" s="31" t="e">
        <f>'1 pompa'!$E$34*S29*POWER(L29, 2)/(2*9.81*'1 pompa'!$E$35/1000)</f>
        <v>#DIV/0!</v>
      </c>
      <c r="U29" s="31">
        <f>POWER(L29, 2)*'1 pompa'!$E$39/(2*9.81)</f>
        <v>0</v>
      </c>
      <c r="V29" s="31" t="e">
        <f t="shared" si="7"/>
        <v>#DIV/0!</v>
      </c>
      <c r="X29" s="48">
        <f t="shared" si="8"/>
        <v>0</v>
      </c>
      <c r="Y29" s="5">
        <f>X29/'1 pompa'!$G$44</f>
        <v>0</v>
      </c>
      <c r="Z29" s="11">
        <f>('1 pompa'!$E$44/1000)*Y29/'1 pompa'!$E$20</f>
        <v>0</v>
      </c>
      <c r="AA29" s="52">
        <f t="shared" si="9"/>
        <v>1</v>
      </c>
      <c r="AB29" s="48">
        <f>1/(1+(POWER(Z29/(150*(('1 pompa'!$E$44/1000)/'1 pompa'!$E$51)),1.8)))</f>
        <v>1</v>
      </c>
      <c r="AC29" s="5" t="e">
        <f t="shared" si="10"/>
        <v>#DIV/0!</v>
      </c>
      <c r="AD29" s="48" t="e">
        <f t="shared" si="11"/>
        <v>#NUM!</v>
      </c>
      <c r="AE29" s="48">
        <f>POWER(0.88*LN(3.41*('1 pompa'!$E$44/1000/'1 pompa'!$E$51)), 2*(AA29-1)*(1-AB29))</f>
        <v>1</v>
      </c>
      <c r="AF29" s="48" t="e">
        <f t="shared" si="12"/>
        <v>#DIV/0!</v>
      </c>
      <c r="AG29" s="31" t="e">
        <f>'1 pompa'!$E$16*AF29*POWER(Y29, 2)/(2*9.81*'1 pompa'!$E$44/1000)</f>
        <v>#DIV/0!</v>
      </c>
      <c r="AH29" s="31">
        <f>POWER(Y29, 2)*'1 pompa'!$E$48/(2*9.81)</f>
        <v>0</v>
      </c>
      <c r="AI29" s="31" t="e">
        <f t="shared" si="13"/>
        <v>#DIV/0!</v>
      </c>
      <c r="AJ29" s="55" t="e">
        <f t="shared" si="14"/>
        <v>#DIV/0!</v>
      </c>
    </row>
    <row r="30" spans="2:36" x14ac:dyDescent="0.25">
      <c r="B30" t="s">
        <v>104</v>
      </c>
      <c r="E30" s="32">
        <f>INDEX(LINEST($H$15:$H$23, $E$15:$E$23^TRANSPOSE({1;2;3})),1)</f>
        <v>-246290.06110487797</v>
      </c>
      <c r="F30" s="32">
        <f>INDEX(LINEST($H$15:$H$23, $E$15:$E$23^TRANSPOSE({1;2;3})),1,2)</f>
        <v>33505.691839025487</v>
      </c>
      <c r="G30" s="32">
        <f>INDEX(LINEST($H$15:$H$23, $E$15:$E$23^TRANSPOSE({1;2;3})),1,3)</f>
        <v>-1604.144620811303</v>
      </c>
      <c r="H30" s="32">
        <f>INDEX(LINEST($H$15:$H$23, $E$15:$E$23^TRANSPOSE({1;2;3})),1,4)</f>
        <v>45.412698412698646</v>
      </c>
      <c r="I30" t="s">
        <v>105</v>
      </c>
      <c r="K30" s="32">
        <f>T30+AG30</f>
        <v>28403.50036462639</v>
      </c>
      <c r="L30" s="32">
        <f t="shared" ref="L30:M30" si="15">U30+AH30</f>
        <v>-29.931861709280337</v>
      </c>
      <c r="M30" s="32">
        <f t="shared" si="15"/>
        <v>-0.17084148906930108</v>
      </c>
      <c r="O30" s="51"/>
      <c r="P30" s="51"/>
      <c r="Q30" s="51"/>
      <c r="R30" s="51"/>
      <c r="T30" s="32">
        <f>INDEX(LINEST($V$15:$V$23, $E$15:$E$23^TRANSPOSE({1;2})),1)</f>
        <v>329.39439493363568</v>
      </c>
      <c r="U30" s="32">
        <f>INDEX(LINEST($V$15:$V$23, $E$15:$E$23^TRANSPOSE({1;2})),1,2)</f>
        <v>-7.3960557433486729E-2</v>
      </c>
      <c r="V30" s="32">
        <f>INDEX(LINEST($V$15:$V$23, $E$15:$E$23^TRANSPOSE({1;2})),1,3)</f>
        <v>-1.0337768963613048E-3</v>
      </c>
      <c r="AG30" s="32">
        <f>INDEX(LINEST($AI$15:$AI$23, $E$15:$E$23^TRANSPOSE({1;2})),1)</f>
        <v>28074.105969692755</v>
      </c>
      <c r="AH30" s="32">
        <f>INDEX(LINEST($AI$15:$AI$23, $E$15:$E$23^TRANSPOSE({1;2})),1,2)</f>
        <v>-29.85790115184685</v>
      </c>
      <c r="AI30" s="32">
        <f>INDEX(LINEST($AI$15:$AI$23, $E$15:$E$23^TRANSPOSE({1;2})),1,3)</f>
        <v>-0.16980771217293977</v>
      </c>
    </row>
    <row r="31" spans="2:36" x14ac:dyDescent="0.25">
      <c r="E31" s="7" t="s">
        <v>151</v>
      </c>
      <c r="F31" t="s">
        <v>148</v>
      </c>
      <c r="G31" t="s">
        <v>150</v>
      </c>
      <c r="H31" t="s">
        <v>149</v>
      </c>
      <c r="K31" t="s">
        <v>148</v>
      </c>
      <c r="L31" t="s">
        <v>150</v>
      </c>
      <c r="M31" t="s">
        <v>149</v>
      </c>
      <c r="O31" s="50"/>
      <c r="P31" s="50"/>
      <c r="Q31" s="50"/>
      <c r="R31" s="50"/>
      <c r="S31" s="50"/>
      <c r="T31" t="s">
        <v>148</v>
      </c>
      <c r="U31" t="s">
        <v>150</v>
      </c>
      <c r="V31" t="s">
        <v>149</v>
      </c>
      <c r="AG31" t="s">
        <v>148</v>
      </c>
      <c r="AH31" t="s">
        <v>150</v>
      </c>
      <c r="AI31" t="s">
        <v>149</v>
      </c>
    </row>
    <row r="32" spans="2:36" ht="33.75" x14ac:dyDescent="0.5">
      <c r="B32" s="1" t="s">
        <v>86</v>
      </c>
      <c r="K32">
        <v>11</v>
      </c>
      <c r="L32">
        <v>12</v>
      </c>
      <c r="M32">
        <v>13</v>
      </c>
      <c r="N32">
        <v>14</v>
      </c>
      <c r="O32">
        <v>15</v>
      </c>
      <c r="P32">
        <v>16</v>
      </c>
      <c r="Q32">
        <v>17</v>
      </c>
      <c r="R32">
        <v>18</v>
      </c>
      <c r="S32">
        <v>19</v>
      </c>
      <c r="T32">
        <v>20</v>
      </c>
      <c r="U32">
        <v>21</v>
      </c>
      <c r="V32">
        <v>22</v>
      </c>
      <c r="W32">
        <v>23</v>
      </c>
      <c r="X32">
        <v>24</v>
      </c>
      <c r="Y32">
        <v>25</v>
      </c>
    </row>
    <row r="33" spans="2:25" x14ac:dyDescent="0.25">
      <c r="B33" t="s">
        <v>88</v>
      </c>
      <c r="C33" s="2" t="s">
        <v>89</v>
      </c>
      <c r="D33" t="s">
        <v>23</v>
      </c>
      <c r="E33" s="6">
        <f>3.14*(POWER('1 pompa'!E17/2, 2))</f>
        <v>3.14</v>
      </c>
      <c r="F33" t="s">
        <v>90</v>
      </c>
      <c r="I33" s="60" t="s">
        <v>100</v>
      </c>
      <c r="J33" t="s">
        <v>101</v>
      </c>
      <c r="K33" s="5">
        <f>E38+E37</f>
        <v>94.741082802547766</v>
      </c>
      <c r="L33" s="5">
        <f>K33+$E$39</f>
        <v>94.84108280254776</v>
      </c>
      <c r="M33" s="5">
        <f>L33+$E$39</f>
        <v>94.941082802547754</v>
      </c>
      <c r="N33" s="5">
        <f t="shared" ref="N33:R33" si="16">M33+$E$39</f>
        <v>95.041082802547749</v>
      </c>
      <c r="O33" s="5">
        <f t="shared" si="16"/>
        <v>95.141082802547743</v>
      </c>
      <c r="P33" s="5">
        <f t="shared" si="16"/>
        <v>95.241082802547737</v>
      </c>
      <c r="Q33" s="5">
        <f t="shared" si="16"/>
        <v>95.341082802547731</v>
      </c>
      <c r="R33" s="5">
        <f t="shared" si="16"/>
        <v>95.441082802547726</v>
      </c>
      <c r="S33" s="5">
        <f>R33+$E$39</f>
        <v>95.54108280254772</v>
      </c>
      <c r="T33" s="5">
        <f t="shared" ref="T33:Y33" si="17">S33+$E$39</f>
        <v>95.641082802547714</v>
      </c>
      <c r="U33" s="5">
        <f t="shared" si="17"/>
        <v>95.741082802547709</v>
      </c>
      <c r="V33" s="5">
        <f t="shared" si="17"/>
        <v>95.841082802547703</v>
      </c>
      <c r="W33" s="5">
        <f t="shared" si="17"/>
        <v>95.941082802547697</v>
      </c>
      <c r="X33" s="5">
        <f t="shared" si="17"/>
        <v>96.041082802547692</v>
      </c>
      <c r="Y33" s="5">
        <f t="shared" si="17"/>
        <v>96.141082802547686</v>
      </c>
    </row>
    <row r="34" spans="2:25" x14ac:dyDescent="0.25">
      <c r="B34" t="s">
        <v>87</v>
      </c>
      <c r="C34" s="2" t="s">
        <v>91</v>
      </c>
      <c r="D34" t="s">
        <v>23</v>
      </c>
      <c r="E34" s="9">
        <f>'1 pompa'!E78</f>
        <v>3.3249999999999997</v>
      </c>
      <c r="F34" t="s">
        <v>92</v>
      </c>
      <c r="I34" s="60"/>
      <c r="J34" t="s">
        <v>103</v>
      </c>
      <c r="K34" s="5">
        <f>'1 pompa'!$E$14-K33</f>
        <v>10.258917197452234</v>
      </c>
      <c r="L34" s="5">
        <f>'1 pompa'!$E$14-L33</f>
        <v>10.15891719745224</v>
      </c>
      <c r="M34" s="5">
        <f>'1 pompa'!$E$14-M33</f>
        <v>10.058917197452246</v>
      </c>
      <c r="N34" s="5">
        <f>'1 pompa'!$E$14-N33</f>
        <v>9.9589171974522515</v>
      </c>
      <c r="O34" s="5">
        <f>'1 pompa'!$E$14-O33</f>
        <v>9.8589171974522571</v>
      </c>
      <c r="P34" s="5">
        <f>'1 pompa'!$E$14-P33</f>
        <v>9.7589171974522628</v>
      </c>
      <c r="Q34" s="5">
        <f>'1 pompa'!$E$14-Q33</f>
        <v>9.6589171974522685</v>
      </c>
      <c r="R34" s="5">
        <f>'1 pompa'!$E$14-R33</f>
        <v>9.5589171974522742</v>
      </c>
      <c r="S34" s="5">
        <f>'1 pompa'!$E$14-S33</f>
        <v>9.4589171974522799</v>
      </c>
      <c r="T34" s="5">
        <f>'1 pompa'!$E$14-T33</f>
        <v>9.3589171974522856</v>
      </c>
      <c r="U34" s="5">
        <f>'1 pompa'!$E$14-U33</f>
        <v>9.2589171974522912</v>
      </c>
      <c r="V34" s="5">
        <f>'1 pompa'!$E$14-V33</f>
        <v>9.1589171974522969</v>
      </c>
      <c r="W34" s="5">
        <f>'1 pompa'!$E$14-W33</f>
        <v>9.0589171974523026</v>
      </c>
      <c r="X34" s="5">
        <f>'1 pompa'!$E$14-X33</f>
        <v>8.9589171974523083</v>
      </c>
      <c r="Y34" s="5">
        <f>'1 pompa'!$E$14-Y33</f>
        <v>8.858917197452314</v>
      </c>
    </row>
    <row r="35" spans="2:25" x14ac:dyDescent="0.25">
      <c r="B35" t="s">
        <v>93</v>
      </c>
      <c r="C35" s="2" t="s">
        <v>94</v>
      </c>
      <c r="D35" t="s">
        <v>23</v>
      </c>
      <c r="E35" s="9">
        <f>E34/E33</f>
        <v>1.0589171974522291</v>
      </c>
      <c r="F35" t="s">
        <v>19</v>
      </c>
      <c r="J35" t="s">
        <v>109</v>
      </c>
      <c r="K35" s="5">
        <f>K34+$M$30</f>
        <v>10.088075708382933</v>
      </c>
      <c r="L35" s="5">
        <f t="shared" ref="L35:Y35" si="18">L34+$M$30</f>
        <v>9.9880757083829383</v>
      </c>
      <c r="M35" s="5">
        <f t="shared" si="18"/>
        <v>9.888075708382944</v>
      </c>
      <c r="N35" s="5">
        <f t="shared" si="18"/>
        <v>9.7880757083829497</v>
      </c>
      <c r="O35" s="5">
        <f t="shared" si="18"/>
        <v>9.6880757083829554</v>
      </c>
      <c r="P35" s="5">
        <f t="shared" si="18"/>
        <v>9.5880757083829611</v>
      </c>
      <c r="Q35" s="5">
        <f t="shared" si="18"/>
        <v>9.4880757083829668</v>
      </c>
      <c r="R35" s="5">
        <f t="shared" si="18"/>
        <v>9.3880757083829725</v>
      </c>
      <c r="S35" s="5">
        <f t="shared" si="18"/>
        <v>9.2880757083829781</v>
      </c>
      <c r="T35" s="5">
        <f t="shared" si="18"/>
        <v>9.1880757083829838</v>
      </c>
      <c r="U35" s="5">
        <f t="shared" si="18"/>
        <v>9.0880757083829895</v>
      </c>
      <c r="V35" s="5">
        <f t="shared" si="18"/>
        <v>8.9880757083829952</v>
      </c>
      <c r="W35" s="5">
        <f t="shared" si="18"/>
        <v>8.8880757083830009</v>
      </c>
      <c r="X35" s="5">
        <f t="shared" si="18"/>
        <v>8.7880757083830066</v>
      </c>
      <c r="Y35" s="5">
        <f t="shared" si="18"/>
        <v>8.6880757083830122</v>
      </c>
    </row>
    <row r="36" spans="2:25" x14ac:dyDescent="0.25">
      <c r="B36" t="s">
        <v>95</v>
      </c>
      <c r="C36" s="2" t="s">
        <v>65</v>
      </c>
      <c r="D36" t="s">
        <v>23</v>
      </c>
      <c r="E36" s="9">
        <f>'1 pompa'!E28-E35</f>
        <v>94.741082802547766</v>
      </c>
      <c r="F36" t="s">
        <v>4</v>
      </c>
      <c r="J36" t="s">
        <v>110</v>
      </c>
      <c r="K36" s="31">
        <f>$E$30</f>
        <v>-246290.06110487797</v>
      </c>
      <c r="L36" s="31">
        <f t="shared" ref="L36:Y36" si="19">$E$30</f>
        <v>-246290.06110487797</v>
      </c>
      <c r="M36" s="31">
        <f t="shared" si="19"/>
        <v>-246290.06110487797</v>
      </c>
      <c r="N36" s="31">
        <f t="shared" si="19"/>
        <v>-246290.06110487797</v>
      </c>
      <c r="O36" s="31">
        <f t="shared" si="19"/>
        <v>-246290.06110487797</v>
      </c>
      <c r="P36" s="31">
        <f t="shared" si="19"/>
        <v>-246290.06110487797</v>
      </c>
      <c r="Q36" s="31">
        <f t="shared" si="19"/>
        <v>-246290.06110487797</v>
      </c>
      <c r="R36" s="31">
        <f t="shared" si="19"/>
        <v>-246290.06110487797</v>
      </c>
      <c r="S36" s="31">
        <f t="shared" si="19"/>
        <v>-246290.06110487797</v>
      </c>
      <c r="T36" s="31">
        <f t="shared" si="19"/>
        <v>-246290.06110487797</v>
      </c>
      <c r="U36" s="31">
        <f t="shared" si="19"/>
        <v>-246290.06110487797</v>
      </c>
      <c r="V36" s="31">
        <f t="shared" si="19"/>
        <v>-246290.06110487797</v>
      </c>
      <c r="W36" s="31">
        <f t="shared" si="19"/>
        <v>-246290.06110487797</v>
      </c>
      <c r="X36" s="31">
        <f t="shared" si="19"/>
        <v>-246290.06110487797</v>
      </c>
      <c r="Y36" s="31">
        <f t="shared" si="19"/>
        <v>-246290.06110487797</v>
      </c>
    </row>
    <row r="37" spans="2:25" x14ac:dyDescent="0.25">
      <c r="B37" t="s">
        <v>96</v>
      </c>
      <c r="C37" s="2" t="s">
        <v>97</v>
      </c>
      <c r="D37" t="s">
        <v>23</v>
      </c>
      <c r="E37" s="26">
        <v>0.3</v>
      </c>
      <c r="F37" t="s">
        <v>19</v>
      </c>
      <c r="J37" t="s">
        <v>111</v>
      </c>
      <c r="K37" s="31">
        <f>$F$30-$K$30</f>
        <v>5102.1914743990965</v>
      </c>
      <c r="L37" s="31">
        <f t="shared" ref="L37:Y37" si="20">$F$30-$K$30</f>
        <v>5102.1914743990965</v>
      </c>
      <c r="M37" s="31">
        <f t="shared" si="20"/>
        <v>5102.1914743990965</v>
      </c>
      <c r="N37" s="31">
        <f t="shared" si="20"/>
        <v>5102.1914743990965</v>
      </c>
      <c r="O37" s="31">
        <f t="shared" si="20"/>
        <v>5102.1914743990965</v>
      </c>
      <c r="P37" s="31">
        <f t="shared" si="20"/>
        <v>5102.1914743990965</v>
      </c>
      <c r="Q37" s="31">
        <f t="shared" si="20"/>
        <v>5102.1914743990965</v>
      </c>
      <c r="R37" s="31">
        <f t="shared" si="20"/>
        <v>5102.1914743990965</v>
      </c>
      <c r="S37" s="31">
        <f t="shared" si="20"/>
        <v>5102.1914743990965</v>
      </c>
      <c r="T37" s="31">
        <f t="shared" si="20"/>
        <v>5102.1914743990965</v>
      </c>
      <c r="U37" s="31">
        <f t="shared" si="20"/>
        <v>5102.1914743990965</v>
      </c>
      <c r="V37" s="31">
        <f t="shared" si="20"/>
        <v>5102.1914743990965</v>
      </c>
      <c r="W37" s="31">
        <f t="shared" si="20"/>
        <v>5102.1914743990965</v>
      </c>
      <c r="X37" s="31">
        <f t="shared" si="20"/>
        <v>5102.1914743990965</v>
      </c>
      <c r="Y37" s="31">
        <f t="shared" si="20"/>
        <v>5102.1914743990965</v>
      </c>
    </row>
    <row r="38" spans="2:25" x14ac:dyDescent="0.25">
      <c r="B38" t="s">
        <v>98</v>
      </c>
      <c r="C38" s="2" t="s">
        <v>65</v>
      </c>
      <c r="D38" t="s">
        <v>23</v>
      </c>
      <c r="E38" s="9">
        <f>E36-E37</f>
        <v>94.441082802547768</v>
      </c>
      <c r="F38" t="s">
        <v>4</v>
      </c>
      <c r="J38" t="s">
        <v>112</v>
      </c>
      <c r="K38" s="31">
        <f>$G$30-$L$30</f>
        <v>-1574.2127591020226</v>
      </c>
      <c r="L38" s="31">
        <f t="shared" ref="L38:Y38" si="21">$G$30-$L$30</f>
        <v>-1574.2127591020226</v>
      </c>
      <c r="M38" s="31">
        <f t="shared" si="21"/>
        <v>-1574.2127591020226</v>
      </c>
      <c r="N38" s="31">
        <f t="shared" si="21"/>
        <v>-1574.2127591020226</v>
      </c>
      <c r="O38" s="31">
        <f t="shared" si="21"/>
        <v>-1574.2127591020226</v>
      </c>
      <c r="P38" s="31">
        <f t="shared" si="21"/>
        <v>-1574.2127591020226</v>
      </c>
      <c r="Q38" s="31">
        <f t="shared" si="21"/>
        <v>-1574.2127591020226</v>
      </c>
      <c r="R38" s="31">
        <f t="shared" si="21"/>
        <v>-1574.2127591020226</v>
      </c>
      <c r="S38" s="31">
        <f t="shared" si="21"/>
        <v>-1574.2127591020226</v>
      </c>
      <c r="T38" s="31">
        <f t="shared" si="21"/>
        <v>-1574.2127591020226</v>
      </c>
      <c r="U38" s="31">
        <f t="shared" si="21"/>
        <v>-1574.2127591020226</v>
      </c>
      <c r="V38" s="31">
        <f t="shared" si="21"/>
        <v>-1574.2127591020226</v>
      </c>
      <c r="W38" s="31">
        <f t="shared" si="21"/>
        <v>-1574.2127591020226</v>
      </c>
      <c r="X38" s="31">
        <f t="shared" si="21"/>
        <v>-1574.2127591020226</v>
      </c>
      <c r="Y38" s="31">
        <f t="shared" si="21"/>
        <v>-1574.2127591020226</v>
      </c>
    </row>
    <row r="39" spans="2:25" x14ac:dyDescent="0.25">
      <c r="B39" s="4" t="s">
        <v>102</v>
      </c>
      <c r="C39" s="29" t="s">
        <v>54</v>
      </c>
      <c r="D39" t="s">
        <v>23</v>
      </c>
      <c r="E39" s="26">
        <v>0.1</v>
      </c>
      <c r="F39" t="s">
        <v>19</v>
      </c>
      <c r="J39" t="s">
        <v>113</v>
      </c>
      <c r="K39" s="31">
        <f>$H$30-K35</f>
        <v>35.324622704315715</v>
      </c>
      <c r="L39" s="31">
        <f>$H$30-L35</f>
        <v>35.424622704315709</v>
      </c>
      <c r="M39" s="31">
        <f>$H$30-M35</f>
        <v>35.524622704315703</v>
      </c>
      <c r="N39" s="31">
        <f t="shared" ref="N39:R39" si="22">$H$30-N35</f>
        <v>35.624622704315698</v>
      </c>
      <c r="O39" s="31">
        <f t="shared" si="22"/>
        <v>35.724622704315692</v>
      </c>
      <c r="P39" s="31">
        <f t="shared" si="22"/>
        <v>35.824622704315686</v>
      </c>
      <c r="Q39" s="31">
        <f t="shared" si="22"/>
        <v>35.924622704315681</v>
      </c>
      <c r="R39" s="31">
        <f t="shared" si="22"/>
        <v>36.024622704315675</v>
      </c>
      <c r="S39" s="31">
        <f>$H$30-S35</f>
        <v>36.124622704315669</v>
      </c>
      <c r="T39" s="31">
        <f t="shared" ref="T39:Y39" si="23">$H$30-T35</f>
        <v>36.224622704315664</v>
      </c>
      <c r="U39" s="31">
        <f t="shared" si="23"/>
        <v>36.324622704315658</v>
      </c>
      <c r="V39" s="31">
        <f t="shared" si="23"/>
        <v>36.424622704315652</v>
      </c>
      <c r="W39" s="31">
        <f t="shared" si="23"/>
        <v>36.524622704315647</v>
      </c>
      <c r="X39" s="31">
        <f t="shared" si="23"/>
        <v>36.624622704315641</v>
      </c>
      <c r="Y39" s="31">
        <f t="shared" si="23"/>
        <v>36.724622704315635</v>
      </c>
    </row>
    <row r="40" spans="2:25" x14ac:dyDescent="0.25">
      <c r="J40" t="s">
        <v>114</v>
      </c>
      <c r="K40" s="31">
        <f>K36*POWER(K41, 3)+K37*POWER(K41, 2)+K38*K41+K39</f>
        <v>1.9056866929645366E-4</v>
      </c>
      <c r="L40" s="31">
        <f>L36*POWER(L41, 3)+L37*POWER(L41, 2)+L38*L41+L39</f>
        <v>1.9764270767552716E-4</v>
      </c>
      <c r="M40" s="31">
        <f>M36*POWER(M41, 3)+M37*POWER(M41, 2)+M38*M41+M39</f>
        <v>2.0494133057269437E-4</v>
      </c>
      <c r="N40" s="31">
        <f t="shared" ref="N40:R40" si="24">N36*POWER(N41, 3)+N37*POWER(N41, 2)+N38*N41+N39</f>
        <v>2.1247043444816427E-4</v>
      </c>
      <c r="O40" s="31">
        <f t="shared" si="24"/>
        <v>2.2023603666809777E-4</v>
      </c>
      <c r="P40" s="31">
        <f t="shared" si="24"/>
        <v>2.2824427713885598E-4</v>
      </c>
      <c r="Q40" s="31">
        <f t="shared" si="24"/>
        <v>2.3650142011177877E-4</v>
      </c>
      <c r="R40" s="31">
        <f t="shared" si="24"/>
        <v>2.4501385586717106E-4</v>
      </c>
      <c r="S40" s="31">
        <f>S36*POWER(S41, 3)+S37*POWER(S41, 2)+S38*S41+S39</f>
        <v>2.5378810246934336E-4</v>
      </c>
      <c r="T40" s="31">
        <f t="shared" ref="T40:Y40" si="25">T36*POWER(T41, 3)+T37*POWER(T41, 2)+T38*T41+T39</f>
        <v>2.6283080752875776E-4</v>
      </c>
      <c r="U40" s="31">
        <f t="shared" si="25"/>
        <v>2.7214874993575222E-4</v>
      </c>
      <c r="V40" s="31">
        <f t="shared" si="25"/>
        <v>2.8174884164400282E-4</v>
      </c>
      <c r="W40" s="31">
        <f t="shared" si="25"/>
        <v>2.9163812948240775E-4</v>
      </c>
      <c r="X40" s="31">
        <f t="shared" si="25"/>
        <v>3.0182379688881156E-4</v>
      </c>
      <c r="Y40" s="31">
        <f t="shared" si="25"/>
        <v>3.123131657574163E-4</v>
      </c>
    </row>
    <row r="41" spans="2:25" x14ac:dyDescent="0.25">
      <c r="J41" t="s">
        <v>131</v>
      </c>
      <c r="K41" s="40">
        <v>2.2314878907240709E-2</v>
      </c>
      <c r="L41" s="40">
        <v>2.2373180724773904E-2</v>
      </c>
      <c r="M41" s="40">
        <v>2.2431437163753599E-2</v>
      </c>
      <c r="N41" s="40">
        <v>2.2489648156417429E-2</v>
      </c>
      <c r="O41" s="40">
        <v>2.2547813635855198E-2</v>
      </c>
      <c r="P41" s="40">
        <v>2.2605933536004617E-2</v>
      </c>
      <c r="Q41" s="40">
        <v>2.2664007791646887E-2</v>
      </c>
      <c r="R41" s="40">
        <v>2.2722036338402397E-2</v>
      </c>
      <c r="S41" s="40">
        <v>2.2780019112726306E-2</v>
      </c>
      <c r="T41" s="40">
        <v>2.2837956051904147E-2</v>
      </c>
      <c r="U41" s="40">
        <v>2.2895847094047402E-2</v>
      </c>
      <c r="V41" s="40">
        <v>2.2953692178089048E-2</v>
      </c>
      <c r="W41" s="40">
        <v>2.3011491243779079E-2</v>
      </c>
      <c r="X41" s="40">
        <v>2.3069244231680039E-2</v>
      </c>
      <c r="Y41" s="40">
        <v>2.3126951083162497E-2</v>
      </c>
    </row>
    <row r="42" spans="2:25" x14ac:dyDescent="0.25">
      <c r="J42" t="s">
        <v>132</v>
      </c>
      <c r="K42" s="45">
        <f>K41*1000</f>
        <v>22.314878907240711</v>
      </c>
      <c r="L42" s="45">
        <f t="shared" ref="L42:Y42" si="26">L41*1000</f>
        <v>22.373180724773903</v>
      </c>
      <c r="M42" s="45">
        <f t="shared" si="26"/>
        <v>22.4314371637536</v>
      </c>
      <c r="N42" s="45">
        <f t="shared" si="26"/>
        <v>22.489648156417427</v>
      </c>
      <c r="O42" s="45">
        <f t="shared" si="26"/>
        <v>22.547813635855199</v>
      </c>
      <c r="P42" s="45">
        <f t="shared" si="26"/>
        <v>22.605933536004617</v>
      </c>
      <c r="Q42" s="45">
        <f t="shared" si="26"/>
        <v>22.664007791646888</v>
      </c>
      <c r="R42" s="45">
        <f t="shared" si="26"/>
        <v>22.722036338402397</v>
      </c>
      <c r="S42" s="45">
        <f t="shared" si="26"/>
        <v>22.780019112726308</v>
      </c>
      <c r="T42" s="45">
        <f t="shared" si="26"/>
        <v>22.837956051904147</v>
      </c>
      <c r="U42" s="45">
        <f t="shared" si="26"/>
        <v>22.895847094047401</v>
      </c>
      <c r="V42" s="45">
        <f t="shared" si="26"/>
        <v>22.953692178089049</v>
      </c>
      <c r="W42" s="45">
        <f t="shared" si="26"/>
        <v>23.01149124377908</v>
      </c>
      <c r="X42" s="45">
        <f t="shared" si="26"/>
        <v>23.069244231680038</v>
      </c>
      <c r="Y42" s="45">
        <f t="shared" si="26"/>
        <v>23.126951083162499</v>
      </c>
    </row>
    <row r="43" spans="2:25" x14ac:dyDescent="0.25">
      <c r="J43" t="s">
        <v>133</v>
      </c>
      <c r="K43" s="45">
        <f>K41*3600</f>
        <v>80.333564066066558</v>
      </c>
      <c r="L43" s="45">
        <f t="shared" ref="L43:Y43" si="27">L41*3600</f>
        <v>80.543450609186053</v>
      </c>
      <c r="M43" s="45">
        <f t="shared" si="27"/>
        <v>80.753173789512957</v>
      </c>
      <c r="N43" s="45">
        <f t="shared" si="27"/>
        <v>80.962733363102743</v>
      </c>
      <c r="O43" s="45">
        <f t="shared" si="27"/>
        <v>81.172129089078709</v>
      </c>
      <c r="P43" s="45">
        <f t="shared" si="27"/>
        <v>81.381360729616617</v>
      </c>
      <c r="Q43" s="45">
        <f t="shared" si="27"/>
        <v>81.590428049928789</v>
      </c>
      <c r="R43" s="45">
        <f t="shared" si="27"/>
        <v>81.799330818248635</v>
      </c>
      <c r="S43" s="45">
        <f t="shared" si="27"/>
        <v>82.008068805814702</v>
      </c>
      <c r="T43" s="45">
        <f t="shared" si="27"/>
        <v>82.216641786854936</v>
      </c>
      <c r="U43" s="45">
        <f t="shared" si="27"/>
        <v>82.425049538570647</v>
      </c>
      <c r="V43" s="45">
        <f t="shared" si="27"/>
        <v>82.633291841120567</v>
      </c>
      <c r="W43" s="45">
        <f t="shared" si="27"/>
        <v>82.841368477604689</v>
      </c>
      <c r="X43" s="45">
        <f t="shared" si="27"/>
        <v>83.049279234048143</v>
      </c>
      <c r="Y43" s="45">
        <f t="shared" si="27"/>
        <v>83.25702389938499</v>
      </c>
    </row>
    <row r="44" spans="2:25" x14ac:dyDescent="0.25">
      <c r="J44" t="s">
        <v>115</v>
      </c>
      <c r="K44" s="5">
        <f>$E$30*POWER(K41, 3)+$F$30*POWER(K41, 2)+$G$30*K41+$H$30</f>
        <v>23.563971933793503</v>
      </c>
      <c r="L44" s="5">
        <f>$E$30*POWER(L41, 3)+$F$30*POWER(L41, 2)+$G$30*L41+$H$30</f>
        <v>23.536236266524547</v>
      </c>
      <c r="M44" s="5">
        <f>$E$30*POWER(M41, 3)+$F$30*POWER(M41, 2)+$G$30*M41+$H$30</f>
        <v>23.508637450635277</v>
      </c>
      <c r="N44" s="5">
        <f t="shared" ref="N44:R44" si="28">$E$30*POWER(N41, 3)+$F$30*POWER(N41, 2)+$G$30*N41+$H$30</f>
        <v>23.481174956955506</v>
      </c>
      <c r="O44" s="5">
        <f t="shared" si="28"/>
        <v>23.453848256957325</v>
      </c>
      <c r="P44" s="5">
        <f t="shared" si="28"/>
        <v>23.426656822767153</v>
      </c>
      <c r="Q44" s="5">
        <f t="shared" si="28"/>
        <v>23.399600127177756</v>
      </c>
      <c r="R44" s="5">
        <f t="shared" si="28"/>
        <v>23.37267764366009</v>
      </c>
      <c r="S44" s="5">
        <f>$E$30*POWER(S41, 3)+$F$30*POWER(S41, 2)+$G$30*S41+$H$30</f>
        <v>23.345888846374976</v>
      </c>
      <c r="T44" s="5">
        <f t="shared" ref="T44:Y44" si="29">$E$30*POWER(T41, 3)+$F$30*POWER(T41, 2)+$G$30*T41+$H$30</f>
        <v>23.319233210184727</v>
      </c>
      <c r="U44" s="5">
        <f t="shared" si="29"/>
        <v>23.292710210664559</v>
      </c>
      <c r="V44" s="5">
        <f t="shared" si="29"/>
        <v>23.266319324113887</v>
      </c>
      <c r="W44" s="5">
        <f t="shared" si="29"/>
        <v>23.240060027567544</v>
      </c>
      <c r="X44" s="5">
        <f t="shared" si="29"/>
        <v>23.213931798806779</v>
      </c>
      <c r="Y44" s="5">
        <f t="shared" si="29"/>
        <v>23.18793411637018</v>
      </c>
    </row>
    <row r="45" spans="2:25" x14ac:dyDescent="0.25">
      <c r="J45" t="s">
        <v>154</v>
      </c>
      <c r="K45" s="5">
        <f>K41/'1 pompa'!$G$35</f>
        <v>2.3493055647987271</v>
      </c>
      <c r="L45" s="5">
        <f>L41/'1 pompa'!$G$35</f>
        <v>2.3554435673815766</v>
      </c>
      <c r="M45" s="5">
        <f>M41/'1 pompa'!$G$35</f>
        <v>2.3615767925202507</v>
      </c>
      <c r="N45" s="5">
        <f>N41/'1 pompa'!$G$35</f>
        <v>2.3677052330807422</v>
      </c>
      <c r="O45" s="5">
        <f>O41/'1 pompa'!$G$35</f>
        <v>2.3738288820187607</v>
      </c>
      <c r="P45" s="5">
        <f>P41/'1 pompa'!$G$35</f>
        <v>2.3799477323792826</v>
      </c>
      <c r="Q45" s="5">
        <f>Q41/'1 pompa'!$G$35</f>
        <v>2.3860617772960873</v>
      </c>
      <c r="R45" s="5">
        <f>R41/'1 pompa'!$G$35</f>
        <v>2.3921710099913036</v>
      </c>
      <c r="S45" s="5">
        <f>S41/'1 pompa'!$G$35</f>
        <v>2.398275423774944</v>
      </c>
      <c r="T45" s="5">
        <f>T41/'1 pompa'!$G$35</f>
        <v>2.4043750120444436</v>
      </c>
      <c r="U45" s="5">
        <f>U41/'1 pompa'!$G$35</f>
        <v>2.4104697682841927</v>
      </c>
      <c r="V45" s="5">
        <f>V41/'1 pompa'!$G$35</f>
        <v>2.4165596860650678</v>
      </c>
      <c r="W45" s="5">
        <f>W41/'1 pompa'!$G$35</f>
        <v>2.4226447590439628</v>
      </c>
      <c r="X45" s="5">
        <f>X41/'1 pompa'!$G$35</f>
        <v>2.428724980963314</v>
      </c>
      <c r="Y45" s="5">
        <f>Y41/'1 pompa'!$G$35</f>
        <v>2.4348003456506286</v>
      </c>
    </row>
    <row r="46" spans="2:25" x14ac:dyDescent="0.25">
      <c r="J46" t="s">
        <v>155</v>
      </c>
      <c r="K46" s="5">
        <f>K41/'1 pompa'!$G$44</f>
        <v>0.87736411524890745</v>
      </c>
      <c r="L46" s="5">
        <f>L41/'1 pompa'!$G$44</f>
        <v>0.87965639399126783</v>
      </c>
      <c r="M46" s="5">
        <f>M41/'1 pompa'!$G$44</f>
        <v>0.88194688856466152</v>
      </c>
      <c r="N46" s="5">
        <f>N41/'1 pompa'!$G$44</f>
        <v>0.88423559630484505</v>
      </c>
      <c r="O46" s="5">
        <f>O41/'1 pompa'!$G$44</f>
        <v>0.88652251458108045</v>
      </c>
      <c r="P46" s="5">
        <f>P41/'1 pompa'!$G$44</f>
        <v>0.88880764079596675</v>
      </c>
      <c r="Q46" s="5">
        <f>Q41/'1 pompa'!$G$44</f>
        <v>0.89109097238526724</v>
      </c>
      <c r="R46" s="5">
        <f>R41/'1 pompa'!$G$44</f>
        <v>0.89337250681773994</v>
      </c>
      <c r="S46" s="5">
        <f>S41/'1 pompa'!$G$44</f>
        <v>0.89565224159496371</v>
      </c>
      <c r="T46" s="5">
        <f>T41/'1 pompa'!$G$44</f>
        <v>0.89793017425116572</v>
      </c>
      <c r="U46" s="5">
        <f>U41/'1 pompa'!$G$44</f>
        <v>0.90020630235304722</v>
      </c>
      <c r="V46" s="5">
        <f>V41/'1 pompa'!$G$44</f>
        <v>0.90248062349960878</v>
      </c>
      <c r="W46" s="5">
        <f>W41/'1 pompa'!$G$44</f>
        <v>0.90475313532197377</v>
      </c>
      <c r="X46" s="5">
        <f>X41/'1 pompa'!$G$44</f>
        <v>0.90702383548321308</v>
      </c>
      <c r="Y46" s="5">
        <f>Y41/'1 pompa'!$G$44</f>
        <v>0.90929272167816699</v>
      </c>
    </row>
    <row r="47" spans="2:25" x14ac:dyDescent="0.25">
      <c r="J47" t="s">
        <v>153</v>
      </c>
    </row>
    <row r="48" spans="2:25" x14ac:dyDescent="0.25">
      <c r="J48" t="s">
        <v>116</v>
      </c>
      <c r="K48" s="28"/>
      <c r="L48" s="5">
        <f>(L33-K33)*$E$33</f>
        <v>0.31399999999998218</v>
      </c>
      <c r="M48" s="5">
        <f>(M33-L33)*$E$33</f>
        <v>0.31399999999998218</v>
      </c>
      <c r="N48" s="5">
        <f>(N33-M33)*$E$33</f>
        <v>0.31399999999998218</v>
      </c>
      <c r="O48" s="5">
        <f t="shared" ref="O48:Y48" si="30">(O33-N33)*$E$33</f>
        <v>0.31399999999998218</v>
      </c>
      <c r="P48" s="5">
        <f t="shared" si="30"/>
        <v>0.31399999999998218</v>
      </c>
      <c r="Q48" s="5">
        <f t="shared" si="30"/>
        <v>0.31399999999998218</v>
      </c>
      <c r="R48" s="5">
        <f t="shared" si="30"/>
        <v>0.31399999999998218</v>
      </c>
      <c r="S48" s="5">
        <f t="shared" si="30"/>
        <v>0.31399999999998218</v>
      </c>
      <c r="T48" s="5">
        <f t="shared" si="30"/>
        <v>0.31399999999998218</v>
      </c>
      <c r="U48" s="5">
        <f t="shared" si="30"/>
        <v>0.31399999999998218</v>
      </c>
      <c r="V48" s="5">
        <f t="shared" si="30"/>
        <v>0.31399999999998218</v>
      </c>
      <c r="W48" s="5">
        <f t="shared" si="30"/>
        <v>0.31399999999998218</v>
      </c>
      <c r="X48" s="5">
        <f t="shared" si="30"/>
        <v>0.31399999999998218</v>
      </c>
      <c r="Y48" s="5">
        <f t="shared" si="30"/>
        <v>0.31399999999998218</v>
      </c>
    </row>
    <row r="49" spans="10:25" x14ac:dyDescent="0.25">
      <c r="J49" t="s">
        <v>117</v>
      </c>
      <c r="L49" s="36">
        <f>AVERAGEA(L41,K41)</f>
        <v>2.2344029816007305E-2</v>
      </c>
      <c r="M49" s="36">
        <f t="shared" ref="M49:Y49" si="31">AVERAGEA(M41,L41)</f>
        <v>2.2402308944263753E-2</v>
      </c>
      <c r="N49" s="36">
        <f t="shared" si="31"/>
        <v>2.2460542660085514E-2</v>
      </c>
      <c r="O49" s="36">
        <f t="shared" si="31"/>
        <v>2.2518730896136312E-2</v>
      </c>
      <c r="P49" s="36">
        <f t="shared" si="31"/>
        <v>2.2576873585929906E-2</v>
      </c>
      <c r="Q49" s="36">
        <f t="shared" si="31"/>
        <v>2.2634970663825752E-2</v>
      </c>
      <c r="R49" s="36">
        <f t="shared" si="31"/>
        <v>2.2693022065024642E-2</v>
      </c>
      <c r="S49" s="36">
        <f t="shared" si="31"/>
        <v>2.2751027725564352E-2</v>
      </c>
      <c r="T49" s="36">
        <f t="shared" si="31"/>
        <v>2.2808987582315227E-2</v>
      </c>
      <c r="U49" s="36">
        <f t="shared" si="31"/>
        <v>2.2866901572975773E-2</v>
      </c>
      <c r="V49" s="36">
        <f t="shared" si="31"/>
        <v>2.2924769636068223E-2</v>
      </c>
      <c r="W49" s="36">
        <f t="shared" si="31"/>
        <v>2.2982591710934065E-2</v>
      </c>
      <c r="X49" s="36">
        <f t="shared" si="31"/>
        <v>2.3040367737729557E-2</v>
      </c>
      <c r="Y49" s="36">
        <f t="shared" si="31"/>
        <v>2.3098097657421268E-2</v>
      </c>
    </row>
    <row r="50" spans="10:25" x14ac:dyDescent="0.25">
      <c r="J50" t="s">
        <v>118</v>
      </c>
      <c r="L50" s="5">
        <f t="shared" ref="L50:Y50" si="32">L48/L49</f>
        <v>14.052970864505022</v>
      </c>
      <c r="M50" s="5">
        <f t="shared" si="32"/>
        <v>14.016412360940311</v>
      </c>
      <c r="N50" s="5">
        <f t="shared" si="32"/>
        <v>13.980071842074839</v>
      </c>
      <c r="O50" s="5">
        <f t="shared" si="32"/>
        <v>13.943947438612415</v>
      </c>
      <c r="P50" s="5">
        <f t="shared" si="32"/>
        <v>13.908037302191813</v>
      </c>
      <c r="Q50" s="5">
        <f t="shared" si="32"/>
        <v>13.87233960509627</v>
      </c>
      <c r="R50" s="5">
        <f t="shared" si="32"/>
        <v>13.836852539967827</v>
      </c>
      <c r="S50" s="5">
        <f t="shared" si="32"/>
        <v>13.801574319526404</v>
      </c>
      <c r="T50" s="5">
        <f t="shared" si="32"/>
        <v>13.766503176293527</v>
      </c>
      <c r="U50" s="5">
        <f t="shared" si="32"/>
        <v>13.731637362320615</v>
      </c>
      <c r="V50" s="5">
        <f t="shared" si="32"/>
        <v>13.696975148921743</v>
      </c>
      <c r="W50" s="5">
        <f t="shared" si="32"/>
        <v>13.662514826410781</v>
      </c>
      <c r="X50" s="5">
        <f t="shared" si="32"/>
        <v>13.628254703842863</v>
      </c>
      <c r="Y50" s="5">
        <f t="shared" si="32"/>
        <v>13.59419310876002</v>
      </c>
    </row>
    <row r="51" spans="10:25" x14ac:dyDescent="0.25">
      <c r="J51" t="s">
        <v>120</v>
      </c>
      <c r="L51" s="5">
        <f t="shared" ref="L51:Y51" si="33">L48+K51</f>
        <v>0.31399999999998218</v>
      </c>
      <c r="M51" s="5">
        <f t="shared" si="33"/>
        <v>0.62799999999996436</v>
      </c>
      <c r="N51" s="5">
        <f t="shared" si="33"/>
        <v>0.94199999999994655</v>
      </c>
      <c r="O51" s="5">
        <f t="shared" si="33"/>
        <v>1.2559999999999287</v>
      </c>
      <c r="P51" s="5">
        <f t="shared" si="33"/>
        <v>1.569999999999911</v>
      </c>
      <c r="Q51" s="5">
        <f t="shared" si="33"/>
        <v>1.8839999999998933</v>
      </c>
      <c r="R51" s="5">
        <f t="shared" si="33"/>
        <v>2.1979999999998756</v>
      </c>
      <c r="S51" s="5">
        <f t="shared" si="33"/>
        <v>2.5119999999998579</v>
      </c>
      <c r="T51" s="5">
        <f t="shared" si="33"/>
        <v>2.8259999999998402</v>
      </c>
      <c r="U51" s="5">
        <f t="shared" si="33"/>
        <v>3.1399999999998225</v>
      </c>
      <c r="V51" s="5">
        <f t="shared" si="33"/>
        <v>3.4539999999998048</v>
      </c>
      <c r="W51" s="5">
        <f t="shared" si="33"/>
        <v>3.7679999999997871</v>
      </c>
      <c r="X51" s="5">
        <f t="shared" si="33"/>
        <v>4.0819999999997689</v>
      </c>
      <c r="Y51" s="5">
        <f t="shared" si="33"/>
        <v>4.3959999999997512</v>
      </c>
    </row>
    <row r="52" spans="10:25" x14ac:dyDescent="0.25">
      <c r="J52" t="s">
        <v>119</v>
      </c>
      <c r="L52" s="5">
        <f>L50+K52</f>
        <v>14.052970864505022</v>
      </c>
      <c r="M52" s="5">
        <f t="shared" ref="M52:Y52" si="34">M50+L52</f>
        <v>28.069383225445335</v>
      </c>
      <c r="N52" s="5">
        <f t="shared" si="34"/>
        <v>42.049455067520171</v>
      </c>
      <c r="O52" s="5">
        <f t="shared" si="34"/>
        <v>55.993402506132583</v>
      </c>
      <c r="P52" s="5">
        <f t="shared" si="34"/>
        <v>69.901439808324398</v>
      </c>
      <c r="Q52" s="5">
        <f t="shared" si="34"/>
        <v>83.773779413420669</v>
      </c>
      <c r="R52" s="5">
        <f t="shared" si="34"/>
        <v>97.610631953388491</v>
      </c>
      <c r="S52" s="5">
        <f t="shared" si="34"/>
        <v>111.4122062729149</v>
      </c>
      <c r="T52" s="5">
        <f t="shared" si="34"/>
        <v>125.17870944920843</v>
      </c>
      <c r="U52" s="5">
        <f t="shared" si="34"/>
        <v>138.91034681152905</v>
      </c>
      <c r="V52" s="5">
        <f t="shared" si="34"/>
        <v>152.6073219604508</v>
      </c>
      <c r="W52" s="5">
        <f t="shared" si="34"/>
        <v>166.26983678686159</v>
      </c>
      <c r="X52" s="5">
        <f t="shared" si="34"/>
        <v>179.89809149070445</v>
      </c>
      <c r="Y52" s="5">
        <f t="shared" si="34"/>
        <v>193.49228459946445</v>
      </c>
    </row>
    <row r="53" spans="10:25" x14ac:dyDescent="0.25">
      <c r="J53" t="s">
        <v>121</v>
      </c>
      <c r="L53" s="5">
        <f>3600*L51/L52</f>
        <v>80.438507337626291</v>
      </c>
      <c r="M53" s="5">
        <f t="shared" ref="M53:Y53" si="35">3600*M51/M52</f>
        <v>80.543273140053216</v>
      </c>
      <c r="N53" s="5">
        <f t="shared" si="35"/>
        <v>80.647894117877343</v>
      </c>
      <c r="O53" s="5">
        <f t="shared" si="35"/>
        <v>80.752370772690981</v>
      </c>
      <c r="P53" s="5">
        <f t="shared" si="35"/>
        <v>80.856703602929173</v>
      </c>
      <c r="Q53" s="5">
        <f t="shared" si="35"/>
        <v>80.960893103899608</v>
      </c>
      <c r="R53" s="5">
        <f t="shared" si="35"/>
        <v>81.06493976781249</v>
      </c>
      <c r="S53" s="5">
        <f t="shared" si="35"/>
        <v>81.168844083809816</v>
      </c>
      <c r="T53" s="5">
        <f t="shared" si="35"/>
        <v>81.272606537994307</v>
      </c>
      <c r="U53" s="5">
        <f t="shared" si="35"/>
        <v>81.376227613457885</v>
      </c>
      <c r="V53" s="5">
        <f t="shared" si="35"/>
        <v>81.479707790310044</v>
      </c>
      <c r="W53" s="5">
        <f t="shared" si="35"/>
        <v>81.583047545705568</v>
      </c>
      <c r="X53" s="5">
        <f t="shared" si="35"/>
        <v>81.686247353871934</v>
      </c>
      <c r="Y53" s="5">
        <f t="shared" si="35"/>
        <v>81.789307686136567</v>
      </c>
    </row>
    <row r="54" spans="10:25" x14ac:dyDescent="0.25">
      <c r="J54" t="s">
        <v>124</v>
      </c>
      <c r="L54" s="5">
        <f>L53/2</f>
        <v>40.219253668813145</v>
      </c>
      <c r="M54" s="5">
        <f t="shared" ref="M54:Y54" si="36">M53/2</f>
        <v>40.271636570026608</v>
      </c>
      <c r="N54" s="5">
        <f t="shared" si="36"/>
        <v>40.323947058938671</v>
      </c>
      <c r="O54" s="5">
        <f t="shared" si="36"/>
        <v>40.37618538634549</v>
      </c>
      <c r="P54" s="5">
        <f t="shared" si="36"/>
        <v>40.428351801464586</v>
      </c>
      <c r="Q54" s="5">
        <f t="shared" si="36"/>
        <v>40.480446551949804</v>
      </c>
      <c r="R54" s="5">
        <f t="shared" si="36"/>
        <v>40.532469883906245</v>
      </c>
      <c r="S54" s="38">
        <f t="shared" si="36"/>
        <v>40.584422041904908</v>
      </c>
      <c r="T54" s="5">
        <f t="shared" si="36"/>
        <v>40.636303268997153</v>
      </c>
      <c r="U54" s="5">
        <f t="shared" si="36"/>
        <v>40.688113806728943</v>
      </c>
      <c r="V54" s="5">
        <f t="shared" si="36"/>
        <v>40.739853895155022</v>
      </c>
      <c r="W54" s="5">
        <f t="shared" si="36"/>
        <v>40.791523772852784</v>
      </c>
      <c r="X54" s="5">
        <f t="shared" si="36"/>
        <v>40.843123676935967</v>
      </c>
      <c r="Y54" s="39">
        <f t="shared" si="36"/>
        <v>40.894653843068284</v>
      </c>
    </row>
    <row r="55" spans="10:25" x14ac:dyDescent="0.25">
      <c r="J55" t="s">
        <v>152</v>
      </c>
      <c r="L55" s="5">
        <f>L54/3.6</f>
        <v>11.172014908003652</v>
      </c>
      <c r="M55" s="5">
        <f t="shared" ref="M55:Y55" si="37">M54/3.6</f>
        <v>11.186565713896281</v>
      </c>
      <c r="N55" s="5">
        <f t="shared" si="37"/>
        <v>11.201096405260742</v>
      </c>
      <c r="O55" s="5">
        <f t="shared" si="37"/>
        <v>11.215607051762635</v>
      </c>
      <c r="P55" s="5">
        <f t="shared" si="37"/>
        <v>11.230097722629052</v>
      </c>
      <c r="Q55" s="5">
        <f t="shared" si="37"/>
        <v>11.244568486652723</v>
      </c>
      <c r="R55" s="5">
        <f t="shared" si="37"/>
        <v>11.25901941219618</v>
      </c>
      <c r="S55" s="5">
        <f t="shared" si="37"/>
        <v>11.273450567195807</v>
      </c>
      <c r="T55" s="5">
        <f t="shared" si="37"/>
        <v>11.287862019165877</v>
      </c>
      <c r="U55" s="5">
        <f t="shared" si="37"/>
        <v>11.302253835202484</v>
      </c>
      <c r="V55" s="5">
        <f t="shared" si="37"/>
        <v>11.316626081987506</v>
      </c>
      <c r="W55" s="5">
        <f t="shared" si="37"/>
        <v>11.330978825792441</v>
      </c>
      <c r="X55" s="5">
        <f t="shared" si="37"/>
        <v>11.345312132482213</v>
      </c>
      <c r="Y55" s="5">
        <f t="shared" si="37"/>
        <v>11.359626067518967</v>
      </c>
    </row>
    <row r="56" spans="10:25" x14ac:dyDescent="0.25">
      <c r="J56" t="s">
        <v>125</v>
      </c>
      <c r="L56" s="5">
        <f>L53-L54</f>
        <v>40.219253668813145</v>
      </c>
      <c r="M56" s="5">
        <f t="shared" ref="M56:Y56" si="38">M53-M54</f>
        <v>40.271636570026608</v>
      </c>
      <c r="N56" s="5">
        <f t="shared" si="38"/>
        <v>40.323947058938671</v>
      </c>
      <c r="O56" s="5">
        <f t="shared" si="38"/>
        <v>40.37618538634549</v>
      </c>
      <c r="P56" s="5">
        <f t="shared" si="38"/>
        <v>40.428351801464586</v>
      </c>
      <c r="Q56" s="5">
        <f t="shared" si="38"/>
        <v>40.480446551949804</v>
      </c>
      <c r="R56" s="5">
        <f t="shared" si="38"/>
        <v>40.532469883906245</v>
      </c>
      <c r="S56" s="5">
        <f t="shared" si="38"/>
        <v>40.584422041904908</v>
      </c>
      <c r="T56" s="5">
        <f t="shared" si="38"/>
        <v>40.636303268997153</v>
      </c>
      <c r="U56" s="5">
        <f t="shared" si="38"/>
        <v>40.688113806728943</v>
      </c>
      <c r="V56" s="5">
        <f t="shared" si="38"/>
        <v>40.739853895155022</v>
      </c>
      <c r="W56" s="5">
        <f t="shared" si="38"/>
        <v>40.791523772852784</v>
      </c>
      <c r="X56" s="5">
        <f t="shared" si="38"/>
        <v>40.843123676935967</v>
      </c>
      <c r="Y56" s="5">
        <f t="shared" si="38"/>
        <v>40.894653843068284</v>
      </c>
    </row>
    <row r="57" spans="10:25" x14ac:dyDescent="0.25">
      <c r="J57" t="s">
        <v>127</v>
      </c>
      <c r="L57" s="37">
        <f>L$51/(L54/3600)</f>
        <v>28.105941729010045</v>
      </c>
      <c r="M57" s="37">
        <f t="shared" ref="M57:Y57" si="39">M$51/(M54/3600)</f>
        <v>56.138766450890678</v>
      </c>
      <c r="N57" s="37">
        <f t="shared" si="39"/>
        <v>84.098910135040342</v>
      </c>
      <c r="O57" s="37">
        <f t="shared" si="39"/>
        <v>111.98680501226518</v>
      </c>
      <c r="P57" s="37">
        <f t="shared" si="39"/>
        <v>139.8028796166488</v>
      </c>
      <c r="Q57" s="37">
        <f t="shared" si="39"/>
        <v>167.54755882684134</v>
      </c>
      <c r="R57" s="37">
        <f t="shared" si="39"/>
        <v>195.22126390677701</v>
      </c>
      <c r="S57" s="37">
        <f t="shared" si="39"/>
        <v>222.8244125458298</v>
      </c>
      <c r="T57" s="37">
        <f t="shared" si="39"/>
        <v>250.3574188984168</v>
      </c>
      <c r="U57" s="37">
        <f t="shared" si="39"/>
        <v>277.82069362305811</v>
      </c>
      <c r="V57" s="37">
        <f t="shared" si="39"/>
        <v>305.21464392090161</v>
      </c>
      <c r="W57" s="37">
        <f t="shared" si="39"/>
        <v>332.53967357372318</v>
      </c>
      <c r="X57" s="37">
        <f t="shared" si="39"/>
        <v>359.79618298140895</v>
      </c>
      <c r="Y57" s="37">
        <f t="shared" si="39"/>
        <v>386.98456919892897</v>
      </c>
    </row>
    <row r="58" spans="10:25" x14ac:dyDescent="0.25">
      <c r="J58" t="s">
        <v>128</v>
      </c>
      <c r="L58" s="37">
        <f>L$51/(L56/3600)</f>
        <v>28.105941729010045</v>
      </c>
      <c r="M58" s="37">
        <f t="shared" ref="M58:Y58" si="40">M$51/(M56/3600)</f>
        <v>56.138766450890678</v>
      </c>
      <c r="N58" s="37">
        <f t="shared" si="40"/>
        <v>84.098910135040342</v>
      </c>
      <c r="O58" s="37">
        <f t="shared" si="40"/>
        <v>111.98680501226518</v>
      </c>
      <c r="P58" s="37">
        <f t="shared" si="40"/>
        <v>139.8028796166488</v>
      </c>
      <c r="Q58" s="37">
        <f t="shared" si="40"/>
        <v>167.54755882684134</v>
      </c>
      <c r="R58" s="37">
        <f t="shared" si="40"/>
        <v>195.22126390677701</v>
      </c>
      <c r="S58" s="37">
        <f t="shared" si="40"/>
        <v>222.8244125458298</v>
      </c>
      <c r="T58" s="37">
        <f t="shared" si="40"/>
        <v>250.3574188984168</v>
      </c>
      <c r="U58" s="37">
        <f t="shared" si="40"/>
        <v>277.82069362305811</v>
      </c>
      <c r="V58" s="37">
        <f t="shared" si="40"/>
        <v>305.21464392090161</v>
      </c>
      <c r="W58" s="37">
        <f t="shared" si="40"/>
        <v>332.53967357372318</v>
      </c>
      <c r="X58" s="37">
        <f t="shared" si="40"/>
        <v>359.79618298140895</v>
      </c>
      <c r="Y58" s="37">
        <f t="shared" si="40"/>
        <v>386.98456919892897</v>
      </c>
    </row>
    <row r="59" spans="10:25" x14ac:dyDescent="0.25">
      <c r="J59" t="s">
        <v>126</v>
      </c>
      <c r="L59" s="37">
        <f>L57+L58</f>
        <v>56.21188345802009</v>
      </c>
      <c r="M59" s="37">
        <f t="shared" ref="M59:Y59" si="41">M57+M58</f>
        <v>112.27753290178136</v>
      </c>
      <c r="N59" s="37">
        <f t="shared" si="41"/>
        <v>168.19782027008068</v>
      </c>
      <c r="O59" s="37">
        <f t="shared" si="41"/>
        <v>223.97361002453036</v>
      </c>
      <c r="P59" s="37">
        <f t="shared" si="41"/>
        <v>279.60575923329759</v>
      </c>
      <c r="Q59" s="37">
        <f t="shared" si="41"/>
        <v>335.09511765368268</v>
      </c>
      <c r="R59" s="37">
        <f t="shared" si="41"/>
        <v>390.44252781355402</v>
      </c>
      <c r="S59" s="37">
        <f t="shared" si="41"/>
        <v>445.6488250916596</v>
      </c>
      <c r="T59" s="37">
        <f t="shared" si="41"/>
        <v>500.71483779683359</v>
      </c>
      <c r="U59" s="37">
        <f t="shared" si="41"/>
        <v>555.64138724611621</v>
      </c>
      <c r="V59" s="37">
        <f t="shared" si="41"/>
        <v>610.42928784180322</v>
      </c>
      <c r="W59" s="37">
        <f t="shared" si="41"/>
        <v>665.07934714744636</v>
      </c>
      <c r="X59" s="37">
        <f t="shared" si="41"/>
        <v>719.59236596281789</v>
      </c>
      <c r="Y59" s="37">
        <f t="shared" si="41"/>
        <v>773.96913839785793</v>
      </c>
    </row>
    <row r="61" spans="10:25" x14ac:dyDescent="0.25">
      <c r="J61" t="s">
        <v>129</v>
      </c>
      <c r="L61" s="28">
        <f>$L$49*3600</f>
        <v>80.438507337626291</v>
      </c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</row>
    <row r="62" spans="10:25" x14ac:dyDescent="0.25">
      <c r="J62" t="s">
        <v>125</v>
      </c>
      <c r="L62" s="28">
        <f>L61-$L54</f>
        <v>40.219253668813145</v>
      </c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</row>
    <row r="63" spans="10:25" x14ac:dyDescent="0.25">
      <c r="J63" t="s">
        <v>128</v>
      </c>
      <c r="L63" s="28">
        <f>$L$48/(L62/3600)</f>
        <v>28.105941729010045</v>
      </c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</row>
    <row r="64" spans="10:25" x14ac:dyDescent="0.25">
      <c r="J64" t="s">
        <v>130</v>
      </c>
      <c r="L64" s="28">
        <f>K64+L63</f>
        <v>28.105941729010045</v>
      </c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</row>
    <row r="66" spans="10:25" x14ac:dyDescent="0.25">
      <c r="J66" t="s">
        <v>129</v>
      </c>
      <c r="L66" s="28">
        <f>L$49*3600</f>
        <v>80.438507337626291</v>
      </c>
      <c r="M66" s="28">
        <f t="shared" ref="M66" si="42">M$49*3600</f>
        <v>80.648312199349505</v>
      </c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</row>
    <row r="67" spans="10:25" x14ac:dyDescent="0.25">
      <c r="J67" t="s">
        <v>125</v>
      </c>
      <c r="L67" s="28">
        <f>L66-$M$54</f>
        <v>40.166870767599683</v>
      </c>
      <c r="M67" s="28">
        <f t="shared" ref="M67" si="43">M66-$M$54</f>
        <v>40.376675629322897</v>
      </c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</row>
    <row r="68" spans="10:25" x14ac:dyDescent="0.25">
      <c r="J68" t="s">
        <v>128</v>
      </c>
      <c r="L68" s="28">
        <f>L$48/(L67/3600)</f>
        <v>28.142595586802965</v>
      </c>
      <c r="M68" s="28">
        <f t="shared" ref="M68" si="44">M$48/(M67/3600)</f>
        <v>27.996361324482134</v>
      </c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</row>
    <row r="69" spans="10:25" x14ac:dyDescent="0.25">
      <c r="J69" t="s">
        <v>130</v>
      </c>
      <c r="L69" s="28">
        <f t="shared" ref="L69:M69" si="45">K69+L68</f>
        <v>28.142595586802965</v>
      </c>
      <c r="M69" s="28">
        <f t="shared" si="45"/>
        <v>56.138956911285099</v>
      </c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</row>
    <row r="71" spans="10:25" x14ac:dyDescent="0.25">
      <c r="J71" t="s">
        <v>129</v>
      </c>
      <c r="L71" s="28">
        <f t="shared" ref="L71:T101" si="46">L$49*3600</f>
        <v>80.438507337626291</v>
      </c>
      <c r="M71" s="28">
        <f t="shared" si="46"/>
        <v>80.648312199349505</v>
      </c>
      <c r="N71" s="28">
        <f t="shared" si="46"/>
        <v>80.85795357630785</v>
      </c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</row>
    <row r="72" spans="10:25" x14ac:dyDescent="0.25">
      <c r="J72" t="s">
        <v>125</v>
      </c>
      <c r="L72" s="28">
        <f>L71-$N$54</f>
        <v>40.11456027868762</v>
      </c>
      <c r="M72" s="28">
        <f t="shared" ref="M72:N72" si="47">M71-$N$54</f>
        <v>40.324365140410833</v>
      </c>
      <c r="N72" s="28">
        <f t="shared" si="47"/>
        <v>40.534006517369178</v>
      </c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</row>
    <row r="73" spans="10:25" x14ac:dyDescent="0.25">
      <c r="J73" t="s">
        <v>128</v>
      </c>
      <c r="L73" s="28">
        <f t="shared" ref="L73:N73" si="48">L$48/(L72/3600)</f>
        <v>28.179294304778999</v>
      </c>
      <c r="M73" s="28">
        <f t="shared" si="48"/>
        <v>28.032679400254512</v>
      </c>
      <c r="N73" s="28">
        <f t="shared" si="48"/>
        <v>27.887694731473179</v>
      </c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</row>
    <row r="74" spans="10:25" x14ac:dyDescent="0.25">
      <c r="J74" t="s">
        <v>130</v>
      </c>
      <c r="L74" s="28">
        <f t="shared" ref="L74:N74" si="49">K74+L73</f>
        <v>28.179294304778999</v>
      </c>
      <c r="M74" s="28">
        <f t="shared" si="49"/>
        <v>56.211973705033515</v>
      </c>
      <c r="N74" s="28">
        <f t="shared" si="49"/>
        <v>84.09966843650669</v>
      </c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</row>
    <row r="76" spans="10:25" x14ac:dyDescent="0.25">
      <c r="J76" t="s">
        <v>129</v>
      </c>
      <c r="L76" s="28">
        <f t="shared" ref="L76" si="50">L$49*3600</f>
        <v>80.438507337626291</v>
      </c>
      <c r="M76" s="28">
        <f t="shared" si="46"/>
        <v>80.648312199349505</v>
      </c>
      <c r="N76" s="28">
        <f t="shared" si="46"/>
        <v>80.85795357630785</v>
      </c>
      <c r="O76" s="28">
        <f t="shared" si="46"/>
        <v>81.067431226090719</v>
      </c>
      <c r="P76" s="28"/>
      <c r="Q76" s="28"/>
      <c r="R76" s="28"/>
      <c r="S76" s="28"/>
      <c r="T76" s="28"/>
      <c r="U76" s="28"/>
      <c r="V76" s="28"/>
      <c r="W76" s="28"/>
      <c r="X76" s="28"/>
      <c r="Y76" s="28"/>
    </row>
    <row r="77" spans="10:25" x14ac:dyDescent="0.25">
      <c r="J77" t="s">
        <v>125</v>
      </c>
      <c r="L77" s="28">
        <f>L76-$O$54</f>
        <v>40.062321951280801</v>
      </c>
      <c r="M77" s="28">
        <f t="shared" ref="M77:O77" si="51">M76-$O$54</f>
        <v>40.272126813004014</v>
      </c>
      <c r="N77" s="28">
        <f t="shared" si="51"/>
        <v>40.481768189962359</v>
      </c>
      <c r="O77" s="28">
        <f t="shared" si="51"/>
        <v>40.691245839745228</v>
      </c>
      <c r="P77" s="28"/>
      <c r="Q77" s="28"/>
      <c r="R77" s="28"/>
      <c r="S77" s="28"/>
      <c r="T77" s="28"/>
      <c r="U77" s="28"/>
      <c r="V77" s="28"/>
      <c r="W77" s="28"/>
      <c r="X77" s="28"/>
      <c r="Y77" s="28"/>
    </row>
    <row r="78" spans="10:25" x14ac:dyDescent="0.25">
      <c r="J78" t="s">
        <v>128</v>
      </c>
      <c r="L78" s="28">
        <f t="shared" ref="L78:O78" si="52">L$48/(L77/3600)</f>
        <v>28.216038036302507</v>
      </c>
      <c r="M78" s="28">
        <f t="shared" si="52"/>
        <v>28.069041529610143</v>
      </c>
      <c r="N78" s="28">
        <f t="shared" si="52"/>
        <v>27.923681463109208</v>
      </c>
      <c r="O78" s="28">
        <f t="shared" si="52"/>
        <v>27.779930957430064</v>
      </c>
      <c r="P78" s="28"/>
      <c r="Q78" s="28"/>
      <c r="R78" s="28"/>
      <c r="S78" s="28"/>
      <c r="T78" s="28"/>
      <c r="U78" s="28"/>
      <c r="V78" s="28"/>
      <c r="W78" s="28"/>
      <c r="X78" s="28"/>
      <c r="Y78" s="28"/>
    </row>
    <row r="79" spans="10:25" x14ac:dyDescent="0.25">
      <c r="J79" t="s">
        <v>130</v>
      </c>
      <c r="L79" s="28">
        <f t="shared" ref="L79:O79" si="53">K79+L78</f>
        <v>28.216038036302507</v>
      </c>
      <c r="M79" s="28">
        <f t="shared" si="53"/>
        <v>56.285079565912653</v>
      </c>
      <c r="N79" s="28">
        <f t="shared" si="53"/>
        <v>84.208761029021858</v>
      </c>
      <c r="O79" s="28">
        <f t="shared" si="53"/>
        <v>111.98869198645193</v>
      </c>
      <c r="P79" s="28"/>
      <c r="Q79" s="28"/>
      <c r="R79" s="28"/>
      <c r="S79" s="28"/>
      <c r="T79" s="28"/>
      <c r="U79" s="28"/>
      <c r="V79" s="28"/>
      <c r="W79" s="28"/>
      <c r="X79" s="28"/>
      <c r="Y79" s="28"/>
    </row>
    <row r="81" spans="10:25" x14ac:dyDescent="0.25">
      <c r="J81" t="s">
        <v>129</v>
      </c>
      <c r="L81" s="28">
        <f t="shared" ref="L81" si="54">L$49*3600</f>
        <v>80.438507337626291</v>
      </c>
      <c r="M81" s="28">
        <f t="shared" si="46"/>
        <v>80.648312199349505</v>
      </c>
      <c r="N81" s="28">
        <f t="shared" si="46"/>
        <v>80.85795357630785</v>
      </c>
      <c r="O81" s="28">
        <f t="shared" si="46"/>
        <v>81.067431226090719</v>
      </c>
      <c r="P81" s="28">
        <f t="shared" si="46"/>
        <v>81.276744909347656</v>
      </c>
      <c r="Q81" s="28"/>
      <c r="R81" s="28"/>
      <c r="S81" s="28"/>
      <c r="T81" s="28"/>
      <c r="U81" s="28"/>
      <c r="V81" s="28"/>
      <c r="W81" s="28"/>
      <c r="X81" s="28"/>
      <c r="Y81" s="28"/>
    </row>
    <row r="82" spans="10:25" x14ac:dyDescent="0.25">
      <c r="J82" t="s">
        <v>125</v>
      </c>
      <c r="L82" s="28">
        <f>L81-$P$54</f>
        <v>40.010155536161705</v>
      </c>
      <c r="M82" s="28">
        <f t="shared" ref="M82:P82" si="55">M81-$P$54</f>
        <v>40.219960397884918</v>
      </c>
      <c r="N82" s="28">
        <f t="shared" si="55"/>
        <v>40.429601774843263</v>
      </c>
      <c r="O82" s="28">
        <f t="shared" si="55"/>
        <v>40.639079424626132</v>
      </c>
      <c r="P82" s="28">
        <f t="shared" si="55"/>
        <v>40.848393107883069</v>
      </c>
      <c r="Q82" s="28"/>
      <c r="R82" s="28"/>
      <c r="S82" s="28"/>
      <c r="T82" s="28"/>
      <c r="U82" s="28"/>
      <c r="V82" s="28"/>
      <c r="W82" s="28"/>
      <c r="X82" s="28"/>
      <c r="Y82" s="28"/>
    </row>
    <row r="83" spans="10:25" x14ac:dyDescent="0.25">
      <c r="J83" t="s">
        <v>128</v>
      </c>
      <c r="L83" s="28">
        <f t="shared" ref="L83:P83" si="56">L$48/(L82/3600)</f>
        <v>28.252826934858213</v>
      </c>
      <c r="M83" s="28">
        <f t="shared" si="56"/>
        <v>28.105447862633429</v>
      </c>
      <c r="N83" s="28">
        <f t="shared" si="56"/>
        <v>27.95971145833326</v>
      </c>
      <c r="O83" s="28">
        <f t="shared" si="56"/>
        <v>27.815590707375755</v>
      </c>
      <c r="P83" s="28">
        <f t="shared" si="56"/>
        <v>27.673059182878536</v>
      </c>
      <c r="Q83" s="28"/>
      <c r="R83" s="28"/>
      <c r="S83" s="28"/>
      <c r="T83" s="28"/>
      <c r="U83" s="28"/>
      <c r="V83" s="28"/>
      <c r="W83" s="28"/>
      <c r="X83" s="28"/>
      <c r="Y83" s="28"/>
    </row>
    <row r="84" spans="10:25" x14ac:dyDescent="0.25">
      <c r="J84" t="s">
        <v>130</v>
      </c>
      <c r="L84" s="28">
        <f t="shared" ref="L84:P84" si="57">K84+L83</f>
        <v>28.252826934858213</v>
      </c>
      <c r="M84" s="28">
        <f t="shared" si="57"/>
        <v>56.358274797491646</v>
      </c>
      <c r="N84" s="28">
        <f t="shared" si="57"/>
        <v>84.317986255824906</v>
      </c>
      <c r="O84" s="28">
        <f t="shared" si="57"/>
        <v>112.13357696320065</v>
      </c>
      <c r="P84" s="28">
        <f t="shared" si="57"/>
        <v>139.8066361460792</v>
      </c>
      <c r="Q84" s="28"/>
      <c r="R84" s="28"/>
      <c r="S84" s="28"/>
      <c r="T84" s="28"/>
      <c r="U84" s="28"/>
      <c r="V84" s="28"/>
      <c r="W84" s="28"/>
      <c r="X84" s="28"/>
      <c r="Y84" s="28"/>
    </row>
    <row r="86" spans="10:25" x14ac:dyDescent="0.25">
      <c r="J86" t="s">
        <v>129</v>
      </c>
      <c r="L86" s="28">
        <f t="shared" ref="L86" si="58">L$49*3600</f>
        <v>80.438507337626291</v>
      </c>
      <c r="M86" s="28">
        <f t="shared" si="46"/>
        <v>80.648312199349505</v>
      </c>
      <c r="N86" s="28">
        <f t="shared" si="46"/>
        <v>80.85795357630785</v>
      </c>
      <c r="O86" s="28">
        <f t="shared" si="46"/>
        <v>81.067431226090719</v>
      </c>
      <c r="P86" s="28">
        <f t="shared" si="46"/>
        <v>81.276744909347656</v>
      </c>
      <c r="Q86" s="28">
        <f t="shared" si="46"/>
        <v>81.48589438977271</v>
      </c>
      <c r="R86" s="28"/>
      <c r="S86" s="28"/>
      <c r="T86" s="28"/>
      <c r="U86" s="28"/>
      <c r="V86" s="28"/>
      <c r="W86" s="28"/>
      <c r="X86" s="28"/>
      <c r="Y86" s="28"/>
    </row>
    <row r="87" spans="10:25" x14ac:dyDescent="0.25">
      <c r="J87" t="s">
        <v>125</v>
      </c>
      <c r="L87" s="28">
        <f>L86-$Q$54</f>
        <v>39.958060785676487</v>
      </c>
      <c r="M87" s="28">
        <f t="shared" ref="M87:Q87" si="59">M86-$Q$54</f>
        <v>40.167865647399701</v>
      </c>
      <c r="N87" s="28">
        <f t="shared" si="59"/>
        <v>40.377507024358046</v>
      </c>
      <c r="O87" s="28">
        <f t="shared" si="59"/>
        <v>40.586984674140915</v>
      </c>
      <c r="P87" s="28">
        <f t="shared" si="59"/>
        <v>40.796298357397852</v>
      </c>
      <c r="Q87" s="28">
        <f t="shared" si="59"/>
        <v>41.005447837822906</v>
      </c>
      <c r="R87" s="28"/>
      <c r="S87" s="28"/>
      <c r="T87" s="28"/>
      <c r="U87" s="28"/>
      <c r="V87" s="28"/>
      <c r="W87" s="28"/>
      <c r="X87" s="28"/>
      <c r="Y87" s="28"/>
    </row>
    <row r="88" spans="10:25" x14ac:dyDescent="0.25">
      <c r="J88" t="s">
        <v>128</v>
      </c>
      <c r="L88" s="28">
        <f t="shared" ref="L88:Q88" si="60">L$48/(L87/3600)</f>
        <v>28.289661154055384</v>
      </c>
      <c r="M88" s="28">
        <f t="shared" si="60"/>
        <v>28.141898549521592</v>
      </c>
      <c r="N88" s="28">
        <f t="shared" si="60"/>
        <v>27.995784864033663</v>
      </c>
      <c r="O88" s="28">
        <f t="shared" si="60"/>
        <v>27.851292947124129</v>
      </c>
      <c r="P88" s="28">
        <f t="shared" si="60"/>
        <v>27.708396239703283</v>
      </c>
      <c r="Q88" s="28">
        <f t="shared" si="60"/>
        <v>27.567068758050954</v>
      </c>
      <c r="R88" s="28"/>
      <c r="S88" s="28"/>
      <c r="T88" s="28"/>
      <c r="U88" s="28"/>
      <c r="V88" s="28"/>
      <c r="W88" s="28"/>
      <c r="X88" s="28"/>
      <c r="Y88" s="28"/>
    </row>
    <row r="89" spans="10:25" x14ac:dyDescent="0.25">
      <c r="J89" t="s">
        <v>130</v>
      </c>
      <c r="L89" s="28">
        <f t="shared" ref="L89:Q89" si="61">K89+L88</f>
        <v>28.289661154055384</v>
      </c>
      <c r="M89" s="28">
        <f t="shared" si="61"/>
        <v>56.43155970357698</v>
      </c>
      <c r="N89" s="28">
        <f t="shared" si="61"/>
        <v>84.427344567610646</v>
      </c>
      <c r="O89" s="28">
        <f t="shared" si="61"/>
        <v>112.27863751473478</v>
      </c>
      <c r="P89" s="28">
        <f t="shared" si="61"/>
        <v>139.98703375443807</v>
      </c>
      <c r="Q89" s="28">
        <f t="shared" si="61"/>
        <v>167.55410251248904</v>
      </c>
      <c r="R89" s="28"/>
      <c r="S89" s="28"/>
      <c r="T89" s="28"/>
      <c r="U89" s="28"/>
      <c r="V89" s="28"/>
      <c r="W89" s="28"/>
      <c r="X89" s="28"/>
      <c r="Y89" s="28"/>
    </row>
    <row r="91" spans="10:25" x14ac:dyDescent="0.25">
      <c r="J91" t="s">
        <v>129</v>
      </c>
      <c r="L91" s="28">
        <f t="shared" ref="L91" si="62">L$49*3600</f>
        <v>80.438507337626291</v>
      </c>
      <c r="M91" s="28">
        <f t="shared" si="46"/>
        <v>80.648312199349505</v>
      </c>
      <c r="N91" s="28">
        <f t="shared" si="46"/>
        <v>80.85795357630785</v>
      </c>
      <c r="O91" s="28">
        <f t="shared" si="46"/>
        <v>81.067431226090719</v>
      </c>
      <c r="P91" s="28">
        <f t="shared" si="46"/>
        <v>81.276744909347656</v>
      </c>
      <c r="Q91" s="28">
        <f t="shared" si="46"/>
        <v>81.48589438977271</v>
      </c>
      <c r="R91" s="28">
        <f t="shared" si="46"/>
        <v>81.694879434088705</v>
      </c>
      <c r="S91" s="28"/>
      <c r="T91" s="28"/>
      <c r="U91" s="28"/>
      <c r="V91" s="28"/>
      <c r="W91" s="28"/>
      <c r="X91" s="28"/>
      <c r="Y91" s="28"/>
    </row>
    <row r="92" spans="10:25" x14ac:dyDescent="0.25">
      <c r="J92" t="s">
        <v>125</v>
      </c>
      <c r="L92" s="28">
        <f>L91-$R$54</f>
        <v>39.906037453720046</v>
      </c>
      <c r="M92" s="28">
        <f t="shared" ref="M92:R92" si="63">M91-$R$54</f>
        <v>40.11584231544326</v>
      </c>
      <c r="N92" s="28">
        <f t="shared" si="63"/>
        <v>40.325483692401605</v>
      </c>
      <c r="O92" s="28">
        <f t="shared" si="63"/>
        <v>40.534961342184474</v>
      </c>
      <c r="P92" s="28">
        <f t="shared" si="63"/>
        <v>40.744275025441411</v>
      </c>
      <c r="Q92" s="28">
        <f t="shared" si="63"/>
        <v>40.953424505866465</v>
      </c>
      <c r="R92" s="28">
        <f t="shared" si="63"/>
        <v>41.16240955018246</v>
      </c>
      <c r="S92" s="28"/>
      <c r="T92" s="28"/>
      <c r="U92" s="28"/>
      <c r="V92" s="28"/>
      <c r="W92" s="28"/>
      <c r="X92" s="28"/>
      <c r="Y92" s="28"/>
    </row>
    <row r="93" spans="10:25" x14ac:dyDescent="0.25">
      <c r="J93" t="s">
        <v>128</v>
      </c>
      <c r="L93" s="28">
        <f t="shared" ref="L93:R93" si="64">L$48/(L92/3600)</f>
        <v>28.32654084763206</v>
      </c>
      <c r="M93" s="28">
        <f t="shared" si="64"/>
        <v>28.178393740588852</v>
      </c>
      <c r="N93" s="28">
        <f t="shared" si="64"/>
        <v>28.03190182720445</v>
      </c>
      <c r="O93" s="28">
        <f t="shared" si="64"/>
        <v>27.887037820448981</v>
      </c>
      <c r="P93" s="28">
        <f t="shared" si="64"/>
        <v>27.743775028371349</v>
      </c>
      <c r="Q93" s="28">
        <f t="shared" si="64"/>
        <v>27.602087337971192</v>
      </c>
      <c r="R93" s="28">
        <f t="shared" si="64"/>
        <v>27.461949199592596</v>
      </c>
      <c r="S93" s="28"/>
      <c r="T93" s="28"/>
      <c r="U93" s="28"/>
      <c r="V93" s="28"/>
      <c r="W93" s="28"/>
      <c r="X93" s="28"/>
      <c r="Y93" s="28"/>
    </row>
    <row r="94" spans="10:25" x14ac:dyDescent="0.25">
      <c r="J94" t="s">
        <v>130</v>
      </c>
      <c r="L94" s="28">
        <f t="shared" ref="L94:R94" si="65">K94+L93</f>
        <v>28.32654084763206</v>
      </c>
      <c r="M94" s="28">
        <f t="shared" si="65"/>
        <v>56.504934588220912</v>
      </c>
      <c r="N94" s="28">
        <f t="shared" si="65"/>
        <v>84.53683641542537</v>
      </c>
      <c r="O94" s="28">
        <f t="shared" si="65"/>
        <v>112.42387423587435</v>
      </c>
      <c r="P94" s="28">
        <f t="shared" si="65"/>
        <v>140.16764926424571</v>
      </c>
      <c r="Q94" s="28">
        <f t="shared" si="65"/>
        <v>167.76973660221691</v>
      </c>
      <c r="R94" s="28">
        <f t="shared" si="65"/>
        <v>195.2316858018095</v>
      </c>
      <c r="S94" s="28"/>
      <c r="T94" s="28"/>
      <c r="U94" s="28"/>
      <c r="V94" s="28"/>
      <c r="W94" s="28"/>
      <c r="X94" s="28"/>
      <c r="Y94" s="28"/>
    </row>
    <row r="96" spans="10:25" x14ac:dyDescent="0.25">
      <c r="J96" t="s">
        <v>129</v>
      </c>
      <c r="L96" s="28">
        <f t="shared" ref="L96" si="66">L$49*3600</f>
        <v>80.438507337626291</v>
      </c>
      <c r="M96" s="28">
        <f t="shared" si="46"/>
        <v>80.648312199349505</v>
      </c>
      <c r="N96" s="28">
        <f t="shared" si="46"/>
        <v>80.85795357630785</v>
      </c>
      <c r="O96" s="28">
        <f t="shared" si="46"/>
        <v>81.067431226090719</v>
      </c>
      <c r="P96" s="28">
        <f t="shared" si="46"/>
        <v>81.276744909347656</v>
      </c>
      <c r="Q96" s="28">
        <f t="shared" si="46"/>
        <v>81.48589438977271</v>
      </c>
      <c r="R96" s="28">
        <f t="shared" si="46"/>
        <v>81.694879434088705</v>
      </c>
      <c r="S96" s="28">
        <f t="shared" si="46"/>
        <v>81.903699812031661</v>
      </c>
      <c r="T96" s="28"/>
      <c r="U96" s="28"/>
      <c r="V96" s="28"/>
      <c r="W96" s="28"/>
      <c r="X96" s="28"/>
      <c r="Y96" s="28"/>
    </row>
    <row r="97" spans="10:25" x14ac:dyDescent="0.25">
      <c r="J97" t="s">
        <v>125</v>
      </c>
      <c r="L97" s="28">
        <f>L96-$S$54</f>
        <v>39.854085295721383</v>
      </c>
      <c r="M97" s="28">
        <f t="shared" ref="M97:S97" si="67">M96-$S$54</f>
        <v>40.063890157444597</v>
      </c>
      <c r="N97" s="28">
        <f t="shared" si="67"/>
        <v>40.273531534402942</v>
      </c>
      <c r="O97" s="28">
        <f t="shared" si="67"/>
        <v>40.483009184185811</v>
      </c>
      <c r="P97" s="28">
        <f t="shared" si="67"/>
        <v>40.692322867442748</v>
      </c>
      <c r="Q97" s="28">
        <f t="shared" si="67"/>
        <v>40.901472347867802</v>
      </c>
      <c r="R97" s="28">
        <f t="shared" si="67"/>
        <v>41.110457392183797</v>
      </c>
      <c r="S97" s="28">
        <f t="shared" si="67"/>
        <v>41.319277770126753</v>
      </c>
      <c r="T97" s="28"/>
      <c r="U97" s="28"/>
      <c r="V97" s="28"/>
      <c r="W97" s="28"/>
      <c r="X97" s="28"/>
      <c r="Y97" s="28"/>
    </row>
    <row r="98" spans="10:25" x14ac:dyDescent="0.25">
      <c r="J98" t="s">
        <v>128</v>
      </c>
      <c r="L98" s="28">
        <f t="shared" ref="L98:S98" si="68">L$48/(L97/3600)</f>
        <v>28.36346616945923</v>
      </c>
      <c r="M98" s="28">
        <f t="shared" si="68"/>
        <v>28.214933586270508</v>
      </c>
      <c r="N98" s="28">
        <f t="shared" si="68"/>
        <v>28.06806249494937</v>
      </c>
      <c r="O98" s="28">
        <f t="shared" si="68"/>
        <v>27.922825471222943</v>
      </c>
      <c r="P98" s="28">
        <f t="shared" si="68"/>
        <v>27.779195689621105</v>
      </c>
      <c r="Q98" s="28">
        <f t="shared" si="68"/>
        <v>27.637146907227745</v>
      </c>
      <c r="R98" s="28">
        <f t="shared" si="68"/>
        <v>27.496653447958362</v>
      </c>
      <c r="S98" s="28">
        <f t="shared" si="68"/>
        <v>27.357690187343952</v>
      </c>
      <c r="T98" s="28"/>
      <c r="U98" s="28"/>
      <c r="V98" s="28"/>
      <c r="W98" s="28"/>
      <c r="X98" s="28"/>
      <c r="Y98" s="28"/>
    </row>
    <row r="99" spans="10:25" x14ac:dyDescent="0.25">
      <c r="J99" t="s">
        <v>130</v>
      </c>
      <c r="L99" s="28">
        <f t="shared" ref="L99:S99" si="69">K99+L98</f>
        <v>28.36346616945923</v>
      </c>
      <c r="M99" s="28">
        <f t="shared" si="69"/>
        <v>56.578399755729734</v>
      </c>
      <c r="N99" s="28">
        <f t="shared" si="69"/>
        <v>84.646462250679107</v>
      </c>
      <c r="O99" s="28">
        <f t="shared" si="69"/>
        <v>112.56928772190204</v>
      </c>
      <c r="P99" s="28">
        <f t="shared" si="69"/>
        <v>140.34848341152315</v>
      </c>
      <c r="Q99" s="28">
        <f t="shared" si="69"/>
        <v>167.98563031875091</v>
      </c>
      <c r="R99" s="28">
        <f t="shared" si="69"/>
        <v>195.48228376670926</v>
      </c>
      <c r="S99" s="28">
        <f t="shared" si="69"/>
        <v>222.83997395405322</v>
      </c>
      <c r="T99" s="28"/>
      <c r="U99" s="28"/>
      <c r="V99" s="28"/>
      <c r="W99" s="28"/>
      <c r="X99" s="28"/>
      <c r="Y99" s="28"/>
    </row>
    <row r="101" spans="10:25" x14ac:dyDescent="0.25">
      <c r="J101" t="s">
        <v>129</v>
      </c>
      <c r="L101" s="28">
        <f t="shared" ref="L101" si="70">L$49*3600</f>
        <v>80.438507337626291</v>
      </c>
      <c r="M101" s="28">
        <f t="shared" si="46"/>
        <v>80.648312199349505</v>
      </c>
      <c r="N101" s="28">
        <f t="shared" si="46"/>
        <v>80.85795357630785</v>
      </c>
      <c r="O101" s="28">
        <f t="shared" si="46"/>
        <v>81.067431226090719</v>
      </c>
      <c r="P101" s="28">
        <f t="shared" si="46"/>
        <v>81.276744909347656</v>
      </c>
      <c r="Q101" s="28">
        <f t="shared" si="46"/>
        <v>81.48589438977271</v>
      </c>
      <c r="R101" s="28">
        <f t="shared" si="46"/>
        <v>81.694879434088705</v>
      </c>
      <c r="S101" s="28">
        <f t="shared" si="46"/>
        <v>81.903699812031661</v>
      </c>
      <c r="T101" s="28">
        <f t="shared" si="46"/>
        <v>82.112355296334812</v>
      </c>
      <c r="U101" s="28"/>
      <c r="V101" s="28"/>
      <c r="W101" s="28"/>
      <c r="X101" s="28"/>
      <c r="Y101" s="28"/>
    </row>
    <row r="102" spans="10:25" x14ac:dyDescent="0.25">
      <c r="J102" t="s">
        <v>125</v>
      </c>
      <c r="L102" s="28">
        <f>L101-$T$54</f>
        <v>39.802204068629138</v>
      </c>
      <c r="M102" s="28">
        <f t="shared" ref="M102:T102" si="71">M101-$T$54</f>
        <v>40.012008930352351</v>
      </c>
      <c r="N102" s="28">
        <f t="shared" si="71"/>
        <v>40.221650307310696</v>
      </c>
      <c r="O102" s="28">
        <f t="shared" si="71"/>
        <v>40.431127957093565</v>
      </c>
      <c r="P102" s="28">
        <f t="shared" si="71"/>
        <v>40.640441640350502</v>
      </c>
      <c r="Q102" s="28">
        <f t="shared" si="71"/>
        <v>40.849591120775557</v>
      </c>
      <c r="R102" s="28">
        <f t="shared" si="71"/>
        <v>41.058576165091552</v>
      </c>
      <c r="S102" s="28">
        <f t="shared" si="71"/>
        <v>41.267396543034508</v>
      </c>
      <c r="T102" s="28">
        <f t="shared" si="71"/>
        <v>41.476052027337659</v>
      </c>
      <c r="U102" s="28"/>
      <c r="V102" s="28"/>
      <c r="W102" s="28"/>
      <c r="X102" s="28"/>
      <c r="Y102" s="28"/>
    </row>
    <row r="103" spans="10:25" x14ac:dyDescent="0.25">
      <c r="J103" t="s">
        <v>128</v>
      </c>
      <c r="L103" s="28">
        <f t="shared" ref="L103:T103" si="72">L$48/(L102/3600)</f>
        <v>28.400437273544913</v>
      </c>
      <c r="M103" s="28">
        <f t="shared" si="72"/>
        <v>28.251518237126952</v>
      </c>
      <c r="N103" s="28">
        <f t="shared" si="72"/>
        <v>28.104267014485831</v>
      </c>
      <c r="O103" s="28">
        <f t="shared" si="72"/>
        <v>27.958656043421346</v>
      </c>
      <c r="P103" s="28">
        <f t="shared" si="72"/>
        <v>27.81465836428314</v>
      </c>
      <c r="Q103" s="28">
        <f t="shared" si="72"/>
        <v>27.672247603600358</v>
      </c>
      <c r="R103" s="28">
        <f t="shared" si="72"/>
        <v>27.531397958242259</v>
      </c>
      <c r="S103" s="28">
        <f t="shared" si="72"/>
        <v>27.392084180089508</v>
      </c>
      <c r="T103" s="28">
        <f t="shared" si="72"/>
        <v>27.254281561197473</v>
      </c>
      <c r="U103" s="28"/>
      <c r="V103" s="28"/>
      <c r="W103" s="28"/>
      <c r="X103" s="28"/>
      <c r="Y103" s="28"/>
    </row>
    <row r="104" spans="10:25" x14ac:dyDescent="0.25">
      <c r="J104" t="s">
        <v>130</v>
      </c>
      <c r="L104" s="28">
        <f t="shared" ref="L104:T104" si="73">K104+L103</f>
        <v>28.400437273544913</v>
      </c>
      <c r="M104" s="28">
        <f t="shared" si="73"/>
        <v>56.651955510671868</v>
      </c>
      <c r="N104" s="28">
        <f t="shared" si="73"/>
        <v>84.756222525157696</v>
      </c>
      <c r="O104" s="28">
        <f t="shared" si="73"/>
        <v>112.71487856857904</v>
      </c>
      <c r="P104" s="28">
        <f t="shared" si="73"/>
        <v>140.52953693286219</v>
      </c>
      <c r="Q104" s="28">
        <f t="shared" si="73"/>
        <v>168.20178453646255</v>
      </c>
      <c r="R104" s="28">
        <f t="shared" si="73"/>
        <v>195.73318249470481</v>
      </c>
      <c r="S104" s="28">
        <f t="shared" si="73"/>
        <v>223.12526667479432</v>
      </c>
      <c r="T104" s="28">
        <f t="shared" si="73"/>
        <v>250.37954823599179</v>
      </c>
      <c r="U104" s="28"/>
      <c r="V104" s="28"/>
      <c r="W104" s="28"/>
      <c r="X104" s="28"/>
      <c r="Y104" s="28"/>
    </row>
    <row r="106" spans="10:25" x14ac:dyDescent="0.25">
      <c r="J106" t="s">
        <v>129</v>
      </c>
      <c r="L106" s="28">
        <f t="shared" ref="L106:Y126" si="74">L$49*3600</f>
        <v>80.438507337626291</v>
      </c>
      <c r="M106" s="28">
        <f t="shared" si="74"/>
        <v>80.648312199349505</v>
      </c>
      <c r="N106" s="28">
        <f t="shared" si="74"/>
        <v>80.85795357630785</v>
      </c>
      <c r="O106" s="28">
        <f t="shared" si="74"/>
        <v>81.067431226090719</v>
      </c>
      <c r="P106" s="28">
        <f t="shared" si="74"/>
        <v>81.276744909347656</v>
      </c>
      <c r="Q106" s="28">
        <f t="shared" si="74"/>
        <v>81.48589438977271</v>
      </c>
      <c r="R106" s="28">
        <f t="shared" si="74"/>
        <v>81.694879434088705</v>
      </c>
      <c r="S106" s="28">
        <f t="shared" si="74"/>
        <v>81.903699812031661</v>
      </c>
      <c r="T106" s="28">
        <f t="shared" si="74"/>
        <v>82.112355296334812</v>
      </c>
      <c r="U106" s="28">
        <f t="shared" si="74"/>
        <v>82.320845662712784</v>
      </c>
      <c r="V106" s="28"/>
      <c r="W106" s="28"/>
      <c r="X106" s="28"/>
      <c r="Y106" s="28"/>
    </row>
    <row r="107" spans="10:25" x14ac:dyDescent="0.25">
      <c r="J107" t="s">
        <v>125</v>
      </c>
      <c r="L107" s="28">
        <f>L106-$U$54</f>
        <v>39.750393530897348</v>
      </c>
      <c r="M107" s="28">
        <f t="shared" ref="M107:U107" si="75">M106-$U$54</f>
        <v>39.960198392620562</v>
      </c>
      <c r="N107" s="28">
        <f t="shared" si="75"/>
        <v>40.169839769578907</v>
      </c>
      <c r="O107" s="28">
        <f t="shared" si="75"/>
        <v>40.379317419361776</v>
      </c>
      <c r="P107" s="28">
        <f t="shared" si="75"/>
        <v>40.588631102618713</v>
      </c>
      <c r="Q107" s="28">
        <f t="shared" si="75"/>
        <v>40.797780583043767</v>
      </c>
      <c r="R107" s="28">
        <f t="shared" si="75"/>
        <v>41.006765627359762</v>
      </c>
      <c r="S107" s="28">
        <f t="shared" si="75"/>
        <v>41.215586005302718</v>
      </c>
      <c r="T107" s="28">
        <f t="shared" si="75"/>
        <v>41.424241489605869</v>
      </c>
      <c r="U107" s="28">
        <f t="shared" si="75"/>
        <v>41.632731855983842</v>
      </c>
      <c r="V107" s="28"/>
      <c r="W107" s="28"/>
      <c r="X107" s="28"/>
      <c r="Y107" s="28"/>
    </row>
    <row r="108" spans="10:25" x14ac:dyDescent="0.25">
      <c r="J108" t="s">
        <v>128</v>
      </c>
      <c r="L108" s="28">
        <f t="shared" ref="L108:U108" si="76">L$48/(L107/3600)</f>
        <v>28.43745431403827</v>
      </c>
      <c r="M108" s="28">
        <f t="shared" si="76"/>
        <v>28.288147843847703</v>
      </c>
      <c r="N108" s="28">
        <f t="shared" si="76"/>
        <v>28.140515533148854</v>
      </c>
      <c r="O108" s="28">
        <f t="shared" si="76"/>
        <v>27.994529681126114</v>
      </c>
      <c r="P108" s="28">
        <f t="shared" si="76"/>
        <v>27.850163193284047</v>
      </c>
      <c r="Q108" s="28">
        <f t="shared" si="76"/>
        <v>27.707389564954639</v>
      </c>
      <c r="R108" s="28">
        <f t="shared" si="76"/>
        <v>27.566182865339947</v>
      </c>
      <c r="S108" s="28">
        <f t="shared" si="76"/>
        <v>27.426517722070013</v>
      </c>
      <c r="T108" s="28">
        <f t="shared" si="76"/>
        <v>27.288369306256936</v>
      </c>
      <c r="U108" s="28">
        <f t="shared" si="76"/>
        <v>27.151713318026339</v>
      </c>
      <c r="V108" s="28"/>
      <c r="W108" s="28"/>
      <c r="X108" s="28"/>
      <c r="Y108" s="28"/>
    </row>
    <row r="109" spans="10:25" x14ac:dyDescent="0.25">
      <c r="J109" t="s">
        <v>130</v>
      </c>
      <c r="L109" s="28">
        <f t="shared" ref="L109:U109" si="77">K109+L108</f>
        <v>28.43745431403827</v>
      </c>
      <c r="M109" s="28">
        <f t="shared" si="77"/>
        <v>56.725602157885973</v>
      </c>
      <c r="N109" s="28">
        <f t="shared" si="77"/>
        <v>84.86611769103483</v>
      </c>
      <c r="O109" s="28">
        <f t="shared" si="77"/>
        <v>112.86064737216094</v>
      </c>
      <c r="P109" s="28">
        <f t="shared" si="77"/>
        <v>140.710810565445</v>
      </c>
      <c r="Q109" s="28">
        <f t="shared" si="77"/>
        <v>168.41820013039964</v>
      </c>
      <c r="R109" s="28">
        <f t="shared" si="77"/>
        <v>195.98438299573959</v>
      </c>
      <c r="S109" s="28">
        <f t="shared" si="77"/>
        <v>223.4109007178096</v>
      </c>
      <c r="T109" s="28">
        <f t="shared" si="77"/>
        <v>250.69927002406652</v>
      </c>
      <c r="U109" s="28">
        <f t="shared" si="77"/>
        <v>277.85098334209283</v>
      </c>
      <c r="V109" s="28"/>
      <c r="W109" s="28"/>
      <c r="X109" s="28"/>
      <c r="Y109" s="28"/>
    </row>
    <row r="111" spans="10:25" x14ac:dyDescent="0.25">
      <c r="J111" t="s">
        <v>129</v>
      </c>
      <c r="L111" s="28">
        <f t="shared" ref="L111" si="78">L$49*3600</f>
        <v>80.438507337626291</v>
      </c>
      <c r="M111" s="28">
        <f t="shared" si="74"/>
        <v>80.648312199349505</v>
      </c>
      <c r="N111" s="28">
        <f t="shared" si="74"/>
        <v>80.85795357630785</v>
      </c>
      <c r="O111" s="28">
        <f t="shared" si="74"/>
        <v>81.067431226090719</v>
      </c>
      <c r="P111" s="28">
        <f t="shared" si="74"/>
        <v>81.276744909347656</v>
      </c>
      <c r="Q111" s="28">
        <f t="shared" si="74"/>
        <v>81.48589438977271</v>
      </c>
      <c r="R111" s="28">
        <f t="shared" si="74"/>
        <v>81.694879434088705</v>
      </c>
      <c r="S111" s="28">
        <f t="shared" si="74"/>
        <v>81.903699812031661</v>
      </c>
      <c r="T111" s="28">
        <f t="shared" si="74"/>
        <v>82.112355296334812</v>
      </c>
      <c r="U111" s="28">
        <f t="shared" si="74"/>
        <v>82.320845662712784</v>
      </c>
      <c r="V111" s="28">
        <f t="shared" si="74"/>
        <v>82.5291706898456</v>
      </c>
      <c r="W111" s="28"/>
      <c r="X111" s="28"/>
      <c r="Y111" s="28"/>
    </row>
    <row r="112" spans="10:25" x14ac:dyDescent="0.25">
      <c r="J112" t="s">
        <v>125</v>
      </c>
      <c r="L112" s="28">
        <f>L111-$V$54</f>
        <v>39.698653442471269</v>
      </c>
      <c r="M112" s="28">
        <f t="shared" ref="M112:V112" si="79">M111-$V$54</f>
        <v>39.908458304194482</v>
      </c>
      <c r="N112" s="28">
        <f t="shared" si="79"/>
        <v>40.118099681152827</v>
      </c>
      <c r="O112" s="28">
        <f t="shared" si="79"/>
        <v>40.327577330935696</v>
      </c>
      <c r="P112" s="28">
        <f t="shared" si="79"/>
        <v>40.536891014192634</v>
      </c>
      <c r="Q112" s="28">
        <f t="shared" si="79"/>
        <v>40.746040494617688</v>
      </c>
      <c r="R112" s="28">
        <f t="shared" si="79"/>
        <v>40.955025538933683</v>
      </c>
      <c r="S112" s="28">
        <f t="shared" si="79"/>
        <v>41.163845916876639</v>
      </c>
      <c r="T112" s="28">
        <f t="shared" si="79"/>
        <v>41.37250140117979</v>
      </c>
      <c r="U112" s="28">
        <f t="shared" si="79"/>
        <v>41.580991767557762</v>
      </c>
      <c r="V112" s="28">
        <f t="shared" si="79"/>
        <v>41.789316794690578</v>
      </c>
      <c r="W112" s="28"/>
      <c r="X112" s="28"/>
      <c r="Y112" s="28"/>
    </row>
    <row r="113" spans="10:25" x14ac:dyDescent="0.25">
      <c r="J113" t="s">
        <v>128</v>
      </c>
      <c r="L113" s="28">
        <f t="shared" ref="L113:V113" si="80">L$48/(L112/3600)</f>
        <v>28.474517445233722</v>
      </c>
      <c r="M113" s="28">
        <f t="shared" si="80"/>
        <v>28.324822557255438</v>
      </c>
      <c r="N113" s="28">
        <f t="shared" si="80"/>
        <v>28.176808198395026</v>
      </c>
      <c r="O113" s="28">
        <f t="shared" si="80"/>
        <v>28.030446528529609</v>
      </c>
      <c r="P113" s="28">
        <f t="shared" si="80"/>
        <v>27.885710317650268</v>
      </c>
      <c r="Q113" s="28">
        <f t="shared" si="80"/>
        <v>27.742572929245849</v>
      </c>
      <c r="R113" s="28">
        <f t="shared" si="80"/>
        <v>27.601008304226962</v>
      </c>
      <c r="S113" s="28">
        <f t="shared" si="80"/>
        <v>27.460990945369527</v>
      </c>
      <c r="T113" s="28">
        <f t="shared" si="80"/>
        <v>27.322495902258911</v>
      </c>
      <c r="U113" s="28">
        <f t="shared" si="80"/>
        <v>27.185498756715422</v>
      </c>
      <c r="V113" s="28">
        <f t="shared" si="80"/>
        <v>27.049975608683688</v>
      </c>
      <c r="W113" s="28"/>
      <c r="X113" s="28"/>
      <c r="Y113" s="28"/>
    </row>
    <row r="114" spans="10:25" x14ac:dyDescent="0.25">
      <c r="J114" t="s">
        <v>130</v>
      </c>
      <c r="L114" s="28">
        <f t="shared" ref="L114:V114" si="81">K114+L113</f>
        <v>28.474517445233722</v>
      </c>
      <c r="M114" s="28">
        <f t="shared" si="81"/>
        <v>56.79934000248916</v>
      </c>
      <c r="N114" s="28">
        <f t="shared" si="81"/>
        <v>84.976148200884182</v>
      </c>
      <c r="O114" s="28">
        <f t="shared" si="81"/>
        <v>113.00659472941379</v>
      </c>
      <c r="P114" s="28">
        <f t="shared" si="81"/>
        <v>140.89230504706407</v>
      </c>
      <c r="Q114" s="28">
        <f t="shared" si="81"/>
        <v>168.63487797630992</v>
      </c>
      <c r="R114" s="28">
        <f t="shared" si="81"/>
        <v>196.23588628053687</v>
      </c>
      <c r="S114" s="28">
        <f t="shared" si="81"/>
        <v>223.69687722590641</v>
      </c>
      <c r="T114" s="28">
        <f t="shared" si="81"/>
        <v>251.01937312816531</v>
      </c>
      <c r="U114" s="28">
        <f t="shared" si="81"/>
        <v>278.20487188488073</v>
      </c>
      <c r="V114" s="28">
        <f t="shared" si="81"/>
        <v>305.2548474935644</v>
      </c>
      <c r="W114" s="28"/>
      <c r="X114" s="28"/>
      <c r="Y114" s="28"/>
    </row>
    <row r="116" spans="10:25" x14ac:dyDescent="0.25">
      <c r="J116" t="s">
        <v>129</v>
      </c>
      <c r="L116" s="28">
        <f t="shared" ref="L116" si="82">L$49*3600</f>
        <v>80.438507337626291</v>
      </c>
      <c r="M116" s="28">
        <f t="shared" si="74"/>
        <v>80.648312199349505</v>
      </c>
      <c r="N116" s="28">
        <f t="shared" si="74"/>
        <v>80.85795357630785</v>
      </c>
      <c r="O116" s="28">
        <f t="shared" si="74"/>
        <v>81.067431226090719</v>
      </c>
      <c r="P116" s="28">
        <f t="shared" si="74"/>
        <v>81.276744909347656</v>
      </c>
      <c r="Q116" s="28">
        <f t="shared" si="74"/>
        <v>81.48589438977271</v>
      </c>
      <c r="R116" s="28">
        <f t="shared" si="74"/>
        <v>81.694879434088705</v>
      </c>
      <c r="S116" s="28">
        <f t="shared" si="74"/>
        <v>81.903699812031661</v>
      </c>
      <c r="T116" s="28">
        <f t="shared" si="74"/>
        <v>82.112355296334812</v>
      </c>
      <c r="U116" s="28">
        <f t="shared" si="74"/>
        <v>82.320845662712784</v>
      </c>
      <c r="V116" s="28">
        <f t="shared" si="74"/>
        <v>82.5291706898456</v>
      </c>
      <c r="W116" s="28">
        <f t="shared" si="74"/>
        <v>82.737330159362628</v>
      </c>
      <c r="X116" s="28"/>
      <c r="Y116" s="28"/>
    </row>
    <row r="117" spans="10:25" x14ac:dyDescent="0.25">
      <c r="J117" t="s">
        <v>125</v>
      </c>
      <c r="L117" s="28">
        <f>L116-$W$54</f>
        <v>39.646983564773507</v>
      </c>
      <c r="M117" s="28">
        <f t="shared" ref="M117:W117" si="83">M116-$W$54</f>
        <v>39.85678842649672</v>
      </c>
      <c r="N117" s="28">
        <f t="shared" si="83"/>
        <v>40.066429803455065</v>
      </c>
      <c r="O117" s="28">
        <f t="shared" si="83"/>
        <v>40.275907453237934</v>
      </c>
      <c r="P117" s="28">
        <f t="shared" si="83"/>
        <v>40.485221136494872</v>
      </c>
      <c r="Q117" s="28">
        <f t="shared" si="83"/>
        <v>40.694370616919926</v>
      </c>
      <c r="R117" s="28">
        <f t="shared" si="83"/>
        <v>40.903355661235921</v>
      </c>
      <c r="S117" s="28">
        <f t="shared" si="83"/>
        <v>41.112176039178877</v>
      </c>
      <c r="T117" s="28">
        <f t="shared" si="83"/>
        <v>41.320831523482028</v>
      </c>
      <c r="U117" s="28">
        <f t="shared" si="83"/>
        <v>41.52932188986</v>
      </c>
      <c r="V117" s="28">
        <f t="shared" si="83"/>
        <v>41.737646916992816</v>
      </c>
      <c r="W117" s="28">
        <f t="shared" si="83"/>
        <v>41.945806386509844</v>
      </c>
      <c r="X117" s="28"/>
      <c r="Y117" s="28"/>
    </row>
    <row r="118" spans="10:25" x14ac:dyDescent="0.25">
      <c r="J118" t="s">
        <v>128</v>
      </c>
      <c r="L118" s="28">
        <f t="shared" ref="L118:W118" si="84">L$48/(L117/3600)</f>
        <v>28.511626821574907</v>
      </c>
      <c r="M118" s="28">
        <f t="shared" si="84"/>
        <v>28.361542528309883</v>
      </c>
      <c r="N118" s="28">
        <f t="shared" si="84"/>
        <v>28.213145157806338</v>
      </c>
      <c r="O118" s="28">
        <f t="shared" si="84"/>
        <v>28.066406729938464</v>
      </c>
      <c r="P118" s="28">
        <f t="shared" si="84"/>
        <v>27.921299878511757</v>
      </c>
      <c r="Q118" s="28">
        <f t="shared" si="84"/>
        <v>27.777797834522538</v>
      </c>
      <c r="R118" s="28">
        <f t="shared" si="84"/>
        <v>27.635874409962288</v>
      </c>
      <c r="S118" s="28">
        <f t="shared" si="84"/>
        <v>27.49550398214614</v>
      </c>
      <c r="T118" s="28">
        <f t="shared" si="84"/>
        <v>27.356661478546144</v>
      </c>
      <c r="U118" s="28">
        <f t="shared" si="84"/>
        <v>27.219322362110127</v>
      </c>
      <c r="V118" s="28">
        <f t="shared" si="84"/>
        <v>27.083462617048294</v>
      </c>
      <c r="W118" s="28">
        <f t="shared" si="84"/>
        <v>26.949058735070185</v>
      </c>
      <c r="X118" s="28"/>
      <c r="Y118" s="28"/>
    </row>
    <row r="119" spans="10:25" x14ac:dyDescent="0.25">
      <c r="J119" t="s">
        <v>130</v>
      </c>
      <c r="L119" s="28">
        <f t="shared" ref="L119:W119" si="85">K119+L118</f>
        <v>28.511626821574907</v>
      </c>
      <c r="M119" s="28">
        <f t="shared" si="85"/>
        <v>56.87316934988479</v>
      </c>
      <c r="N119" s="28">
        <f t="shared" si="85"/>
        <v>85.086314507691128</v>
      </c>
      <c r="O119" s="28">
        <f t="shared" si="85"/>
        <v>113.15272123762959</v>
      </c>
      <c r="P119" s="28">
        <f t="shared" si="85"/>
        <v>141.07402111614135</v>
      </c>
      <c r="Q119" s="28">
        <f t="shared" si="85"/>
        <v>168.8518189506639</v>
      </c>
      <c r="R119" s="28">
        <f t="shared" si="85"/>
        <v>196.4876933606262</v>
      </c>
      <c r="S119" s="28">
        <f t="shared" si="85"/>
        <v>223.98319734277234</v>
      </c>
      <c r="T119" s="28">
        <f t="shared" si="85"/>
        <v>251.3398588213185</v>
      </c>
      <c r="U119" s="28">
        <f t="shared" si="85"/>
        <v>278.55918118342862</v>
      </c>
      <c r="V119" s="28">
        <f t="shared" si="85"/>
        <v>305.64264380047689</v>
      </c>
      <c r="W119" s="28">
        <f t="shared" si="85"/>
        <v>332.59170253554709</v>
      </c>
      <c r="X119" s="28"/>
      <c r="Y119" s="28"/>
    </row>
    <row r="121" spans="10:25" x14ac:dyDescent="0.25">
      <c r="J121" t="s">
        <v>129</v>
      </c>
      <c r="L121" s="28">
        <f t="shared" ref="L121" si="86">L$49*3600</f>
        <v>80.438507337626291</v>
      </c>
      <c r="M121" s="28">
        <f t="shared" si="74"/>
        <v>80.648312199349505</v>
      </c>
      <c r="N121" s="28">
        <f t="shared" si="74"/>
        <v>80.85795357630785</v>
      </c>
      <c r="O121" s="28">
        <f t="shared" si="74"/>
        <v>81.067431226090719</v>
      </c>
      <c r="P121" s="28">
        <f t="shared" si="74"/>
        <v>81.276744909347656</v>
      </c>
      <c r="Q121" s="28">
        <f t="shared" si="74"/>
        <v>81.48589438977271</v>
      </c>
      <c r="R121" s="28">
        <f t="shared" si="74"/>
        <v>81.694879434088705</v>
      </c>
      <c r="S121" s="28">
        <f t="shared" si="74"/>
        <v>81.903699812031661</v>
      </c>
      <c r="T121" s="28">
        <f t="shared" si="74"/>
        <v>82.112355296334812</v>
      </c>
      <c r="U121" s="28">
        <f t="shared" si="74"/>
        <v>82.320845662712784</v>
      </c>
      <c r="V121" s="28">
        <f t="shared" si="74"/>
        <v>82.5291706898456</v>
      </c>
      <c r="W121" s="28">
        <f t="shared" si="74"/>
        <v>82.737330159362628</v>
      </c>
      <c r="X121" s="28">
        <f t="shared" si="74"/>
        <v>82.945323855826402</v>
      </c>
      <c r="Y121" s="28"/>
    </row>
    <row r="122" spans="10:25" x14ac:dyDescent="0.25">
      <c r="J122" t="s">
        <v>125</v>
      </c>
      <c r="L122" s="28">
        <f>L121-$X$54</f>
        <v>39.595383660690324</v>
      </c>
      <c r="M122" s="28">
        <f t="shared" ref="M122:X122" si="87">M121-$X$54</f>
        <v>39.805188522413538</v>
      </c>
      <c r="N122" s="28">
        <f t="shared" si="87"/>
        <v>40.014829899371883</v>
      </c>
      <c r="O122" s="28">
        <f t="shared" si="87"/>
        <v>40.224307549154751</v>
      </c>
      <c r="P122" s="28">
        <f t="shared" si="87"/>
        <v>40.433621232411689</v>
      </c>
      <c r="Q122" s="28">
        <f t="shared" si="87"/>
        <v>40.642770712836743</v>
      </c>
      <c r="R122" s="28">
        <f t="shared" si="87"/>
        <v>40.851755757152738</v>
      </c>
      <c r="S122" s="28">
        <f t="shared" si="87"/>
        <v>41.060576135095694</v>
      </c>
      <c r="T122" s="28">
        <f t="shared" si="87"/>
        <v>41.269231619398845</v>
      </c>
      <c r="U122" s="28">
        <f t="shared" si="87"/>
        <v>41.477721985776817</v>
      </c>
      <c r="V122" s="28">
        <f t="shared" si="87"/>
        <v>41.686047012909633</v>
      </c>
      <c r="W122" s="28">
        <f t="shared" si="87"/>
        <v>41.894206482426661</v>
      </c>
      <c r="X122" s="28">
        <f t="shared" si="87"/>
        <v>42.102200178890435</v>
      </c>
      <c r="Y122" s="28"/>
    </row>
    <row r="123" spans="10:25" x14ac:dyDescent="0.25">
      <c r="J123" t="s">
        <v>128</v>
      </c>
      <c r="L123" s="28">
        <f t="shared" ref="L123:X123" si="88">L$48/(L122/3600)</f>
        <v>28.548782597658708</v>
      </c>
      <c r="M123" s="28">
        <f t="shared" si="88"/>
        <v>28.398307908111757</v>
      </c>
      <c r="N123" s="28">
        <f t="shared" si="88"/>
        <v>28.249526559094033</v>
      </c>
      <c r="O123" s="28">
        <f t="shared" si="88"/>
        <v>28.10241042977729</v>
      </c>
      <c r="P123" s="28">
        <f t="shared" si="88"/>
        <v>27.956932017105714</v>
      </c>
      <c r="Q123" s="28">
        <f t="shared" si="88"/>
        <v>27.813064418930146</v>
      </c>
      <c r="R123" s="28">
        <f t="shared" si="88"/>
        <v>27.670781317691933</v>
      </c>
      <c r="S123" s="28">
        <f t="shared" si="88"/>
        <v>27.530056964635463</v>
      </c>
      <c r="T123" s="28">
        <f t="shared" si="88"/>
        <v>27.390866164529818</v>
      </c>
      <c r="U123" s="28">
        <f t="shared" si="88"/>
        <v>27.253184260880161</v>
      </c>
      <c r="V123" s="28">
        <f t="shared" si="88"/>
        <v>27.116987121610872</v>
      </c>
      <c r="W123" s="28">
        <f t="shared" si="88"/>
        <v>26.982251125202815</v>
      </c>
      <c r="X123" s="28">
        <f t="shared" si="88"/>
        <v>26.848953147268194</v>
      </c>
      <c r="Y123" s="28"/>
    </row>
    <row r="124" spans="10:25" x14ac:dyDescent="0.25">
      <c r="J124" t="s">
        <v>130</v>
      </c>
      <c r="L124" s="28">
        <f t="shared" ref="L124:X124" si="89">K124+L123</f>
        <v>28.548782597658708</v>
      </c>
      <c r="M124" s="28">
        <f t="shared" si="89"/>
        <v>56.947090505770461</v>
      </c>
      <c r="N124" s="28">
        <f t="shared" si="89"/>
        <v>85.196617064864498</v>
      </c>
      <c r="O124" s="28">
        <f t="shared" si="89"/>
        <v>113.29902749464179</v>
      </c>
      <c r="P124" s="28">
        <f t="shared" si="89"/>
        <v>141.25595951174751</v>
      </c>
      <c r="Q124" s="28">
        <f t="shared" si="89"/>
        <v>169.06902393067764</v>
      </c>
      <c r="R124" s="28">
        <f t="shared" si="89"/>
        <v>196.73980524836958</v>
      </c>
      <c r="S124" s="28">
        <f t="shared" si="89"/>
        <v>224.26986221300504</v>
      </c>
      <c r="T124" s="28">
        <f t="shared" si="89"/>
        <v>251.66072837753487</v>
      </c>
      <c r="U124" s="28">
        <f t="shared" si="89"/>
        <v>278.91391263841501</v>
      </c>
      <c r="V124" s="28">
        <f t="shared" si="89"/>
        <v>306.03089976002587</v>
      </c>
      <c r="W124" s="28">
        <f t="shared" si="89"/>
        <v>333.0131508852287</v>
      </c>
      <c r="X124" s="28">
        <f t="shared" si="89"/>
        <v>359.86210403249692</v>
      </c>
      <c r="Y124" s="28"/>
    </row>
    <row r="126" spans="10:25" x14ac:dyDescent="0.25">
      <c r="J126" t="s">
        <v>129</v>
      </c>
      <c r="L126" s="28">
        <f t="shared" ref="L126" si="90">L$49*3600</f>
        <v>80.438507337626291</v>
      </c>
      <c r="M126" s="28">
        <f t="shared" si="74"/>
        <v>80.648312199349505</v>
      </c>
      <c r="N126" s="28">
        <f t="shared" si="74"/>
        <v>80.85795357630785</v>
      </c>
      <c r="O126" s="28">
        <f t="shared" si="74"/>
        <v>81.067431226090719</v>
      </c>
      <c r="P126" s="28">
        <f t="shared" si="74"/>
        <v>81.276744909347656</v>
      </c>
      <c r="Q126" s="28">
        <f t="shared" si="74"/>
        <v>81.48589438977271</v>
      </c>
      <c r="R126" s="28">
        <f t="shared" si="74"/>
        <v>81.694879434088705</v>
      </c>
      <c r="S126" s="28">
        <f t="shared" si="74"/>
        <v>81.903699812031661</v>
      </c>
      <c r="T126" s="28">
        <f t="shared" si="74"/>
        <v>82.112355296334812</v>
      </c>
      <c r="U126" s="28">
        <f t="shared" si="74"/>
        <v>82.320845662712784</v>
      </c>
      <c r="V126" s="28">
        <f t="shared" si="74"/>
        <v>82.5291706898456</v>
      </c>
      <c r="W126" s="28">
        <f t="shared" si="74"/>
        <v>82.737330159362628</v>
      </c>
      <c r="X126" s="28">
        <f t="shared" si="74"/>
        <v>82.945323855826402</v>
      </c>
      <c r="Y126" s="28">
        <f t="shared" si="74"/>
        <v>83.153151566716559</v>
      </c>
    </row>
    <row r="127" spans="10:25" x14ac:dyDescent="0.25">
      <c r="J127" t="s">
        <v>125</v>
      </c>
      <c r="L127" s="28">
        <f>L126-$Y$54</f>
        <v>39.543853494558007</v>
      </c>
      <c r="M127" s="28">
        <f t="shared" ref="M127:Y127" si="91">M126-$Y$54</f>
        <v>39.753658356281221</v>
      </c>
      <c r="N127" s="28">
        <f t="shared" si="91"/>
        <v>39.963299733239566</v>
      </c>
      <c r="O127" s="28">
        <f t="shared" si="91"/>
        <v>40.172777383022435</v>
      </c>
      <c r="P127" s="28">
        <f t="shared" si="91"/>
        <v>40.382091066279372</v>
      </c>
      <c r="Q127" s="28">
        <f t="shared" si="91"/>
        <v>40.591240546704427</v>
      </c>
      <c r="R127" s="28">
        <f t="shared" si="91"/>
        <v>40.800225591020421</v>
      </c>
      <c r="S127" s="28">
        <f t="shared" si="91"/>
        <v>41.009045968963378</v>
      </c>
      <c r="T127" s="28">
        <f t="shared" si="91"/>
        <v>41.217701453266528</v>
      </c>
      <c r="U127" s="28">
        <f t="shared" si="91"/>
        <v>41.426191819644501</v>
      </c>
      <c r="V127" s="28">
        <f t="shared" si="91"/>
        <v>41.634516846777316</v>
      </c>
      <c r="W127" s="28">
        <f t="shared" si="91"/>
        <v>41.842676316294344</v>
      </c>
      <c r="X127" s="28">
        <f t="shared" si="91"/>
        <v>42.050670012758118</v>
      </c>
      <c r="Y127" s="28">
        <f t="shared" si="91"/>
        <v>42.258497723648276</v>
      </c>
    </row>
    <row r="128" spans="10:25" x14ac:dyDescent="0.25">
      <c r="J128" t="s">
        <v>128</v>
      </c>
      <c r="L128" s="28">
        <f t="shared" ref="L128:Y128" si="92">L$48/(L127/3600)</f>
        <v>28.585984928239242</v>
      </c>
      <c r="M128" s="28">
        <f t="shared" si="92"/>
        <v>28.435118847906701</v>
      </c>
      <c r="N128" s="28">
        <f t="shared" si="92"/>
        <v>28.285952550102436</v>
      </c>
      <c r="O128" s="28">
        <f t="shared" si="92"/>
        <v>28.138457772592503</v>
      </c>
      <c r="P128" s="28">
        <f t="shared" si="92"/>
        <v>27.992606874780293</v>
      </c>
      <c r="Q128" s="28">
        <f t="shared" si="92"/>
        <v>27.848372820714697</v>
      </c>
      <c r="R128" s="28">
        <f t="shared" si="92"/>
        <v>27.705729162652514</v>
      </c>
      <c r="S128" s="28">
        <f t="shared" si="92"/>
        <v>27.564650025154194</v>
      </c>
      <c r="T128" s="28">
        <f t="shared" si="92"/>
        <v>27.425110089693053</v>
      </c>
      <c r="U128" s="28">
        <f t="shared" si="92"/>
        <v>27.287084579758421</v>
      </c>
      <c r="V128" s="28">
        <f t="shared" si="92"/>
        <v>27.150549246434537</v>
      </c>
      <c r="W128" s="28">
        <f t="shared" si="92"/>
        <v>27.015480354437468</v>
      </c>
      <c r="X128" s="28">
        <f t="shared" si="92"/>
        <v>26.881854668593249</v>
      </c>
      <c r="Y128" s="28">
        <f t="shared" si="92"/>
        <v>26.749649440740832</v>
      </c>
    </row>
    <row r="129" spans="10:25" x14ac:dyDescent="0.25">
      <c r="J129" t="s">
        <v>130</v>
      </c>
      <c r="L129" s="28">
        <f t="shared" ref="L129:Y129" si="93">K129+L128</f>
        <v>28.585984928239242</v>
      </c>
      <c r="M129" s="28">
        <f t="shared" si="93"/>
        <v>57.021103776145942</v>
      </c>
      <c r="N129" s="28">
        <f t="shared" si="93"/>
        <v>85.307056326248386</v>
      </c>
      <c r="O129" s="28">
        <f t="shared" si="93"/>
        <v>113.44551409884089</v>
      </c>
      <c r="P129" s="28">
        <f t="shared" si="93"/>
        <v>141.43812097362118</v>
      </c>
      <c r="Q129" s="28">
        <f t="shared" si="93"/>
        <v>169.28649379433588</v>
      </c>
      <c r="R129" s="28">
        <f t="shared" si="93"/>
        <v>196.9922229569884</v>
      </c>
      <c r="S129" s="28">
        <f t="shared" si="93"/>
        <v>224.55687298214258</v>
      </c>
      <c r="T129" s="28">
        <f t="shared" si="93"/>
        <v>251.98198307183563</v>
      </c>
      <c r="U129" s="28">
        <f t="shared" si="93"/>
        <v>279.26906765159407</v>
      </c>
      <c r="V129" s="28">
        <f t="shared" si="93"/>
        <v>306.41961689802861</v>
      </c>
      <c r="W129" s="28">
        <f t="shared" si="93"/>
        <v>333.43509725246605</v>
      </c>
      <c r="X129" s="28">
        <f t="shared" si="93"/>
        <v>360.31695192105929</v>
      </c>
      <c r="Y129" s="28">
        <f t="shared" si="93"/>
        <v>387.06660136180011</v>
      </c>
    </row>
    <row r="131" spans="10:25" x14ac:dyDescent="0.25"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</row>
    <row r="132" spans="10:25" x14ac:dyDescent="0.25"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</row>
    <row r="133" spans="10:25" x14ac:dyDescent="0.25"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</row>
    <row r="134" spans="10:25" x14ac:dyDescent="0.25"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</row>
    <row r="136" spans="10:25" x14ac:dyDescent="0.25"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</row>
    <row r="137" spans="10:25" x14ac:dyDescent="0.25"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</row>
    <row r="138" spans="10:25" x14ac:dyDescent="0.25"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</row>
    <row r="139" spans="10:25" x14ac:dyDescent="0.25"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</row>
  </sheetData>
  <mergeCells count="9">
    <mergeCell ref="L13:U13"/>
    <mergeCell ref="X13:AI13"/>
    <mergeCell ref="I33:I34"/>
    <mergeCell ref="C2:D2"/>
    <mergeCell ref="C3:D3"/>
    <mergeCell ref="C4:D4"/>
    <mergeCell ref="C5:D5"/>
    <mergeCell ref="C6:D6"/>
    <mergeCell ref="K12:S12"/>
  </mergeCells>
  <conditionalFormatting sqref="L59:Y59">
    <cfRule type="cellIs" dxfId="5" priority="3" operator="greaterThan">
      <formula>#REF!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9B4CCBD6-E37C-4C82-8B98-49F51C0675AA}">
            <xm:f>'1 pompa'!$G$15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L59:Y59</xm:sqref>
        </x14:conditionalFormatting>
        <x14:conditionalFormatting xmlns:xm="http://schemas.microsoft.com/office/excel/2006/main">
          <x14:cfRule type="cellIs" priority="1" operator="lessThan" id="{5B88D960-4BFF-4461-87FA-C7939157A717}">
            <xm:f>'1 pompa'!$E$25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1 pompa</vt:lpstr>
      <vt:lpstr>2 pompy</vt:lpstr>
      <vt:lpstr>3 pompy</vt:lpstr>
      <vt:lpstr>3 pompy STARE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Błoński</dc:creator>
  <cp:lastModifiedBy>Jakub Błoński</cp:lastModifiedBy>
  <cp:lastPrinted>2021-05-13T15:54:04Z</cp:lastPrinted>
  <dcterms:created xsi:type="dcterms:W3CDTF">2021-05-09T08:27:21Z</dcterms:created>
  <dcterms:modified xsi:type="dcterms:W3CDTF">2021-05-27T18:13:23Z</dcterms:modified>
</cp:coreProperties>
</file>