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# Programowanie\Pompa\tests\scenarios\station_2\"/>
    </mc:Choice>
  </mc:AlternateContent>
  <xr:revisionPtr revIDLastSave="0" documentId="13_ncr:1_{AB478A2C-F102-474C-BCB8-3A39684CC74E}" xr6:coauthVersionLast="46" xr6:coauthVersionMax="46" xr10:uidLastSave="{00000000-0000-0000-0000-000000000000}"/>
  <bookViews>
    <workbookView xWindow="-120" yWindow="-120" windowWidth="29040" windowHeight="15840" xr2:uid="{5F5C5E87-60CE-4FB1-A69B-69A68FF89EEB}"/>
  </bookViews>
  <sheets>
    <sheet name="Arkusz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7" i="1" l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K87" i="1"/>
  <c r="K86" i="1"/>
  <c r="E65" i="1"/>
  <c r="E66" i="1"/>
  <c r="E67" i="1"/>
  <c r="E68" i="1"/>
  <c r="E69" i="1"/>
  <c r="E70" i="1"/>
  <c r="E57" i="1"/>
  <c r="F57" i="1" s="1"/>
  <c r="E58" i="1"/>
  <c r="AE58" i="1" s="1"/>
  <c r="AF58" i="1" s="1"/>
  <c r="AG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56" i="1"/>
  <c r="L56" i="1"/>
  <c r="M90" i="1"/>
  <c r="M117" i="1" s="1"/>
  <c r="N90" i="1"/>
  <c r="N137" i="1" s="1"/>
  <c r="O90" i="1"/>
  <c r="O137" i="1" s="1"/>
  <c r="P90" i="1"/>
  <c r="P162" i="1" s="1"/>
  <c r="Q90" i="1"/>
  <c r="Q162" i="1" s="1"/>
  <c r="R90" i="1"/>
  <c r="R162" i="1" s="1"/>
  <c r="S90" i="1"/>
  <c r="S152" i="1" s="1"/>
  <c r="T90" i="1"/>
  <c r="T167" i="1" s="1"/>
  <c r="U90" i="1"/>
  <c r="U167" i="1" s="1"/>
  <c r="V90" i="1"/>
  <c r="V167" i="1" s="1"/>
  <c r="W90" i="1"/>
  <c r="W167" i="1" s="1"/>
  <c r="X90" i="1"/>
  <c r="X167" i="1" s="1"/>
  <c r="Y90" i="1"/>
  <c r="Y167" i="1" s="1"/>
  <c r="L90" i="1"/>
  <c r="L132" i="1" s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K83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G15" i="1"/>
  <c r="E22" i="1"/>
  <c r="G22" i="1" s="1"/>
  <c r="E25" i="1"/>
  <c r="E26" i="1" s="1"/>
  <c r="G32" i="1"/>
  <c r="E34" i="1"/>
  <c r="E36" i="1"/>
  <c r="G41" i="1"/>
  <c r="E43" i="1"/>
  <c r="E74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F58" i="1" l="1"/>
  <c r="AE60" i="1"/>
  <c r="AN60" i="1"/>
  <c r="AF60" i="1"/>
  <c r="AG60" i="1" s="1"/>
  <c r="AE59" i="1"/>
  <c r="AN59" i="1" s="1"/>
  <c r="AN58" i="1"/>
  <c r="AE57" i="1"/>
  <c r="AF57" i="1" s="1"/>
  <c r="AG57" i="1" s="1"/>
  <c r="AE64" i="1"/>
  <c r="AF64" i="1" s="1"/>
  <c r="AG64" i="1" s="1"/>
  <c r="AE63" i="1"/>
  <c r="AF63" i="1" s="1"/>
  <c r="AG63" i="1" s="1"/>
  <c r="AI63" i="1" s="1"/>
  <c r="AE56" i="1"/>
  <c r="AE61" i="1"/>
  <c r="AN61" i="1" s="1"/>
  <c r="AE62" i="1"/>
  <c r="AF62" i="1" s="1"/>
  <c r="AG62" i="1" s="1"/>
  <c r="F56" i="1"/>
  <c r="AF59" i="1"/>
  <c r="AH59" i="1" s="1"/>
  <c r="AI60" i="1"/>
  <c r="AH58" i="1"/>
  <c r="AK58" i="1" s="1"/>
  <c r="AI58" i="1"/>
  <c r="U62" i="1"/>
  <c r="U61" i="1"/>
  <c r="U56" i="1"/>
  <c r="U58" i="1"/>
  <c r="U60" i="1"/>
  <c r="U59" i="1"/>
  <c r="U64" i="1"/>
  <c r="U57" i="1"/>
  <c r="U63" i="1"/>
  <c r="Q64" i="1"/>
  <c r="R64" i="1" s="1"/>
  <c r="Q57" i="1"/>
  <c r="R57" i="1" s="1"/>
  <c r="Q58" i="1"/>
  <c r="R58" i="1" s="1"/>
  <c r="M64" i="1"/>
  <c r="N64" i="1" s="1"/>
  <c r="M63" i="1"/>
  <c r="N63" i="1" s="1"/>
  <c r="M62" i="1"/>
  <c r="N62" i="1" s="1"/>
  <c r="Q62" i="1"/>
  <c r="R62" i="1" s="1"/>
  <c r="M61" i="1"/>
  <c r="N61" i="1" s="1"/>
  <c r="Q60" i="1"/>
  <c r="R60" i="1" s="1"/>
  <c r="Q56" i="1"/>
  <c r="R56" i="1" s="1"/>
  <c r="Q59" i="1"/>
  <c r="R59" i="1" s="1"/>
  <c r="M60" i="1"/>
  <c r="N60" i="1" s="1"/>
  <c r="Q63" i="1"/>
  <c r="R63" i="1" s="1"/>
  <c r="M56" i="1"/>
  <c r="N56" i="1" s="1"/>
  <c r="M59" i="1"/>
  <c r="N59" i="1" s="1"/>
  <c r="M58" i="1"/>
  <c r="N58" i="1" s="1"/>
  <c r="Q61" i="1"/>
  <c r="R61" i="1" s="1"/>
  <c r="M57" i="1"/>
  <c r="N57" i="1" s="1"/>
  <c r="W157" i="1"/>
  <c r="V157" i="1"/>
  <c r="U157" i="1"/>
  <c r="U147" i="1"/>
  <c r="T157" i="1"/>
  <c r="T147" i="1"/>
  <c r="R167" i="1"/>
  <c r="S167" i="1"/>
  <c r="S147" i="1"/>
  <c r="R152" i="1"/>
  <c r="R147" i="1"/>
  <c r="Q167" i="1"/>
  <c r="Q152" i="1"/>
  <c r="M137" i="1"/>
  <c r="M142" i="1"/>
  <c r="L117" i="1"/>
  <c r="N162" i="1"/>
  <c r="P152" i="1"/>
  <c r="P167" i="1"/>
  <c r="P122" i="1"/>
  <c r="N112" i="1"/>
  <c r="O167" i="1"/>
  <c r="X162" i="1"/>
  <c r="L162" i="1"/>
  <c r="S157" i="1"/>
  <c r="N152" i="1"/>
  <c r="Q147" i="1"/>
  <c r="O122" i="1"/>
  <c r="M112" i="1"/>
  <c r="O162" i="1"/>
  <c r="L137" i="1"/>
  <c r="O152" i="1"/>
  <c r="N167" i="1"/>
  <c r="W162" i="1"/>
  <c r="R157" i="1"/>
  <c r="M152" i="1"/>
  <c r="P147" i="1"/>
  <c r="T142" i="1"/>
  <c r="R132" i="1"/>
  <c r="Q127" i="1"/>
  <c r="N122" i="1"/>
  <c r="L112" i="1"/>
  <c r="M107" i="1"/>
  <c r="M167" i="1"/>
  <c r="V162" i="1"/>
  <c r="Q157" i="1"/>
  <c r="L152" i="1"/>
  <c r="O147" i="1"/>
  <c r="S142" i="1"/>
  <c r="S137" i="1"/>
  <c r="Q132" i="1"/>
  <c r="P127" i="1"/>
  <c r="M122" i="1"/>
  <c r="L167" i="1"/>
  <c r="U162" i="1"/>
  <c r="P157" i="1"/>
  <c r="N147" i="1"/>
  <c r="R142" i="1"/>
  <c r="R137" i="1"/>
  <c r="P132" i="1"/>
  <c r="O127" i="1"/>
  <c r="L122" i="1"/>
  <c r="M162" i="1"/>
  <c r="T162" i="1"/>
  <c r="O157" i="1"/>
  <c r="V152" i="1"/>
  <c r="M147" i="1"/>
  <c r="Q142" i="1"/>
  <c r="Q137" i="1"/>
  <c r="O132" i="1"/>
  <c r="N127" i="1"/>
  <c r="S162" i="1"/>
  <c r="N157" i="1"/>
  <c r="U152" i="1"/>
  <c r="L147" i="1"/>
  <c r="P142" i="1"/>
  <c r="P137" i="1"/>
  <c r="N132" i="1"/>
  <c r="M127" i="1"/>
  <c r="O117" i="1"/>
  <c r="L102" i="1"/>
  <c r="M157" i="1"/>
  <c r="T152" i="1"/>
  <c r="O142" i="1"/>
  <c r="M132" i="1"/>
  <c r="L127" i="1"/>
  <c r="N117" i="1"/>
  <c r="L142" i="1"/>
  <c r="L157" i="1"/>
  <c r="N142" i="1"/>
  <c r="E44" i="1"/>
  <c r="E46" i="1" s="1"/>
  <c r="E47" i="1" s="1"/>
  <c r="E75" i="1"/>
  <c r="E76" i="1" s="1"/>
  <c r="E77" i="1" s="1"/>
  <c r="E79" i="1" s="1"/>
  <c r="K74" i="1" s="1"/>
  <c r="E35" i="1"/>
  <c r="E37" i="1" s="1"/>
  <c r="E38" i="1" s="1"/>
  <c r="AH60" i="1" l="1"/>
  <c r="AK60" i="1" s="1"/>
  <c r="AH62" i="1"/>
  <c r="AH57" i="1"/>
  <c r="AN57" i="1"/>
  <c r="AN62" i="1"/>
  <c r="AN64" i="1"/>
  <c r="AF56" i="1"/>
  <c r="AN56" i="1"/>
  <c r="AF61" i="1"/>
  <c r="AN63" i="1"/>
  <c r="AJ62" i="1"/>
  <c r="AH63" i="1"/>
  <c r="AK63" i="1" s="1"/>
  <c r="AG59" i="1"/>
  <c r="AK59" i="1" s="1"/>
  <c r="AJ58" i="1"/>
  <c r="AL58" i="1" s="1"/>
  <c r="AM58" i="1" s="1"/>
  <c r="AJ60" i="1"/>
  <c r="AL60" i="1" s="1"/>
  <c r="AM60" i="1" s="1"/>
  <c r="V64" i="1"/>
  <c r="AD64" i="1"/>
  <c r="V59" i="1"/>
  <c r="AD59" i="1"/>
  <c r="V60" i="1"/>
  <c r="AD60" i="1"/>
  <c r="V62" i="1"/>
  <c r="AD62" i="1"/>
  <c r="AH64" i="1"/>
  <c r="AK64" i="1" s="1"/>
  <c r="V57" i="1"/>
  <c r="AD57" i="1"/>
  <c r="AK57" i="1"/>
  <c r="V58" i="1"/>
  <c r="AD58" i="1"/>
  <c r="V63" i="1"/>
  <c r="AD63" i="1"/>
  <c r="V61" i="1"/>
  <c r="AD61" i="1"/>
  <c r="AI64" i="1"/>
  <c r="V56" i="1"/>
  <c r="AD56" i="1"/>
  <c r="AK62" i="1"/>
  <c r="AJ57" i="1"/>
  <c r="AI57" i="1"/>
  <c r="AI62" i="1"/>
  <c r="S59" i="1"/>
  <c r="S57" i="1"/>
  <c r="S56" i="1"/>
  <c r="S64" i="1"/>
  <c r="S63" i="1"/>
  <c r="S58" i="1"/>
  <c r="L71" i="1" s="1"/>
  <c r="E49" i="1"/>
  <c r="S62" i="1"/>
  <c r="S61" i="1"/>
  <c r="S60" i="1"/>
  <c r="AG61" i="1" l="1"/>
  <c r="AI61" i="1" s="1"/>
  <c r="AJ63" i="1"/>
  <c r="AH61" i="1"/>
  <c r="AK61" i="1" s="1"/>
  <c r="AH56" i="1"/>
  <c r="AG56" i="1"/>
  <c r="AI59" i="1"/>
  <c r="AJ59" i="1"/>
  <c r="AL63" i="1"/>
  <c r="AM63" i="1" s="1"/>
  <c r="W64" i="1"/>
  <c r="X64" i="1"/>
  <c r="W57" i="1"/>
  <c r="X57" i="1"/>
  <c r="W62" i="1"/>
  <c r="Y62" i="1" s="1"/>
  <c r="X62" i="1"/>
  <c r="W63" i="1"/>
  <c r="Y63" i="1" s="1"/>
  <c r="X63" i="1"/>
  <c r="W60" i="1"/>
  <c r="X60" i="1"/>
  <c r="W59" i="1"/>
  <c r="Y59" i="1" s="1"/>
  <c r="X59" i="1"/>
  <c r="AL59" i="1"/>
  <c r="AM59" i="1" s="1"/>
  <c r="AJ64" i="1"/>
  <c r="AL64" i="1" s="1"/>
  <c r="AM64" i="1" s="1"/>
  <c r="W61" i="1"/>
  <c r="Y61" i="1" s="1"/>
  <c r="X61" i="1"/>
  <c r="W58" i="1"/>
  <c r="X58" i="1"/>
  <c r="Y58" i="1"/>
  <c r="W56" i="1"/>
  <c r="X56" i="1"/>
  <c r="AL62" i="1"/>
  <c r="AM62" i="1" s="1"/>
  <c r="AL57" i="1"/>
  <c r="AM57" i="1" s="1"/>
  <c r="AJ61" i="1"/>
  <c r="M71" i="1"/>
  <c r="N71" i="1"/>
  <c r="L74" i="1"/>
  <c r="L89" i="1" s="1"/>
  <c r="AA56" i="1" l="1"/>
  <c r="AK56" i="1"/>
  <c r="AI56" i="1"/>
  <c r="AA63" i="1"/>
  <c r="Z62" i="1"/>
  <c r="AJ56" i="1"/>
  <c r="Z57" i="1"/>
  <c r="Z61" i="1"/>
  <c r="AA64" i="1"/>
  <c r="AA60" i="1"/>
  <c r="Y57" i="1"/>
  <c r="Y64" i="1"/>
  <c r="Z59" i="1"/>
  <c r="Z60" i="1"/>
  <c r="AA58" i="1"/>
  <c r="Y60" i="1"/>
  <c r="AA62" i="1"/>
  <c r="AB62" i="1" s="1"/>
  <c r="AC62" i="1" s="1"/>
  <c r="AO62" i="1" s="1"/>
  <c r="AA59" i="1"/>
  <c r="AL61" i="1"/>
  <c r="AM61" i="1" s="1"/>
  <c r="AA57" i="1"/>
  <c r="Z58" i="1"/>
  <c r="Z63" i="1"/>
  <c r="AB63" i="1" s="1"/>
  <c r="AC63" i="1" s="1"/>
  <c r="AO63" i="1" s="1"/>
  <c r="AA61" i="1"/>
  <c r="AB61" i="1" s="1"/>
  <c r="AC61" i="1" s="1"/>
  <c r="Z64" i="1"/>
  <c r="Y56" i="1"/>
  <c r="Z56" i="1"/>
  <c r="L91" i="1"/>
  <c r="L93" i="1" s="1"/>
  <c r="K75" i="1"/>
  <c r="AB64" i="1" l="1"/>
  <c r="AC64" i="1" s="1"/>
  <c r="AO64" i="1" s="1"/>
  <c r="AB57" i="1"/>
  <c r="AC57" i="1" s="1"/>
  <c r="AO57" i="1" s="1"/>
  <c r="AB60" i="1"/>
  <c r="AC60" i="1" s="1"/>
  <c r="AO60" i="1" s="1"/>
  <c r="AL56" i="1"/>
  <c r="AM56" i="1" s="1"/>
  <c r="AB59" i="1"/>
  <c r="AC59" i="1" s="1"/>
  <c r="AO59" i="1" s="1"/>
  <c r="AO61" i="1"/>
  <c r="AB58" i="1"/>
  <c r="AC58" i="1" s="1"/>
  <c r="AO58" i="1" s="1"/>
  <c r="AB56" i="1"/>
  <c r="AC56" i="1" s="1"/>
  <c r="AO56" i="1" s="1"/>
  <c r="L75" i="1"/>
  <c r="M74" i="1"/>
  <c r="V71" i="1" l="1"/>
  <c r="W71" i="1"/>
  <c r="Z71" i="1"/>
  <c r="AA71" i="1"/>
  <c r="Y71" i="1"/>
  <c r="L92" i="1"/>
  <c r="M75" i="1"/>
  <c r="M89" i="1"/>
  <c r="N74" i="1"/>
  <c r="M76" i="1" l="1"/>
  <c r="L76" i="1"/>
  <c r="K76" i="1"/>
  <c r="L94" i="1"/>
  <c r="M91" i="1"/>
  <c r="M93" i="1" s="1"/>
  <c r="M92" i="1"/>
  <c r="N75" i="1"/>
  <c r="N76" i="1" s="1"/>
  <c r="N89" i="1"/>
  <c r="O74" i="1"/>
  <c r="O89" i="1" s="1"/>
  <c r="N91" i="1" l="1"/>
  <c r="N93" i="1" s="1"/>
  <c r="O91" i="1"/>
  <c r="L95" i="1"/>
  <c r="L96" i="1" s="1"/>
  <c r="N92" i="1"/>
  <c r="O92" i="1" s="1"/>
  <c r="M94" i="1"/>
  <c r="P74" i="1"/>
  <c r="P89" i="1" s="1"/>
  <c r="O75" i="1"/>
  <c r="O76" i="1" s="1"/>
  <c r="L98" i="1" l="1"/>
  <c r="L103" i="1"/>
  <c r="L104" i="1" s="1"/>
  <c r="L105" i="1" s="1"/>
  <c r="O93" i="1"/>
  <c r="O94" i="1" s="1"/>
  <c r="P92" i="1"/>
  <c r="P91" i="1"/>
  <c r="L97" i="1"/>
  <c r="N94" i="1"/>
  <c r="N95" i="1" s="1"/>
  <c r="N96" i="1" s="1"/>
  <c r="M95" i="1"/>
  <c r="M96" i="1" s="1"/>
  <c r="P75" i="1"/>
  <c r="P76" i="1" s="1"/>
  <c r="Q74" i="1"/>
  <c r="Q89" i="1" s="1"/>
  <c r="M98" i="1" l="1"/>
  <c r="M108" i="1"/>
  <c r="M109" i="1" s="1"/>
  <c r="L108" i="1"/>
  <c r="L109" i="1" s="1"/>
  <c r="L110" i="1" s="1"/>
  <c r="N98" i="1"/>
  <c r="L113" i="1"/>
  <c r="L114" i="1" s="1"/>
  <c r="L115" i="1" s="1"/>
  <c r="M113" i="1"/>
  <c r="M114" i="1" s="1"/>
  <c r="N113" i="1"/>
  <c r="N114" i="1" s="1"/>
  <c r="L99" i="1"/>
  <c r="L100" i="1" s="1"/>
  <c r="P93" i="1"/>
  <c r="P94" i="1" s="1"/>
  <c r="Q92" i="1"/>
  <c r="Q91" i="1"/>
  <c r="M97" i="1"/>
  <c r="M99" i="1" s="1"/>
  <c r="O95" i="1"/>
  <c r="O96" i="1" s="1"/>
  <c r="N97" i="1"/>
  <c r="N99" i="1" s="1"/>
  <c r="R74" i="1"/>
  <c r="R89" i="1" s="1"/>
  <c r="Q75" i="1"/>
  <c r="Q76" i="1" s="1"/>
  <c r="M100" i="1" l="1"/>
  <c r="M110" i="1"/>
  <c r="N100" i="1"/>
  <c r="O98" i="1"/>
  <c r="L118" i="1"/>
  <c r="L119" i="1" s="1"/>
  <c r="L120" i="1" s="1"/>
  <c r="M118" i="1"/>
  <c r="M119" i="1" s="1"/>
  <c r="N118" i="1"/>
  <c r="N119" i="1" s="1"/>
  <c r="O118" i="1"/>
  <c r="O119" i="1" s="1"/>
  <c r="M115" i="1"/>
  <c r="N115" i="1" s="1"/>
  <c r="Q93" i="1"/>
  <c r="Q94" i="1" s="1"/>
  <c r="R92" i="1"/>
  <c r="R91" i="1"/>
  <c r="O97" i="1"/>
  <c r="O99" i="1" s="1"/>
  <c r="P95" i="1"/>
  <c r="P96" i="1" s="1"/>
  <c r="R75" i="1"/>
  <c r="R76" i="1" s="1"/>
  <c r="S74" i="1"/>
  <c r="S89" i="1" s="1"/>
  <c r="M120" i="1" l="1"/>
  <c r="N120" i="1" s="1"/>
  <c r="O120" i="1" s="1"/>
  <c r="P98" i="1"/>
  <c r="N123" i="1"/>
  <c r="N124" i="1" s="1"/>
  <c r="P123" i="1"/>
  <c r="P124" i="1" s="1"/>
  <c r="L123" i="1"/>
  <c r="L124" i="1" s="1"/>
  <c r="L125" i="1" s="1"/>
  <c r="M123" i="1"/>
  <c r="M124" i="1" s="1"/>
  <c r="O123" i="1"/>
  <c r="O124" i="1" s="1"/>
  <c r="O100" i="1"/>
  <c r="R93" i="1"/>
  <c r="R94" i="1" s="1"/>
  <c r="S91" i="1"/>
  <c r="S92" i="1"/>
  <c r="P97" i="1"/>
  <c r="P99" i="1" s="1"/>
  <c r="Q95" i="1"/>
  <c r="Q96" i="1" s="1"/>
  <c r="T74" i="1"/>
  <c r="T89" i="1" s="1"/>
  <c r="S75" i="1"/>
  <c r="S76" i="1" s="1"/>
  <c r="P100" i="1" l="1"/>
  <c r="M125" i="1"/>
  <c r="N125" i="1" s="1"/>
  <c r="O125" i="1" s="1"/>
  <c r="P125" i="1" s="1"/>
  <c r="Q98" i="1"/>
  <c r="M128" i="1"/>
  <c r="M129" i="1" s="1"/>
  <c r="O128" i="1"/>
  <c r="O129" i="1" s="1"/>
  <c r="N128" i="1"/>
  <c r="N129" i="1" s="1"/>
  <c r="P128" i="1"/>
  <c r="P129" i="1" s="1"/>
  <c r="Q128" i="1"/>
  <c r="Q129" i="1" s="1"/>
  <c r="L128" i="1"/>
  <c r="L129" i="1" s="1"/>
  <c r="L130" i="1" s="1"/>
  <c r="S93" i="1"/>
  <c r="S94" i="1" s="1"/>
  <c r="T91" i="1"/>
  <c r="T92" i="1"/>
  <c r="Q97" i="1"/>
  <c r="Q99" i="1" s="1"/>
  <c r="R95" i="1"/>
  <c r="R96" i="1" s="1"/>
  <c r="U74" i="1"/>
  <c r="U89" i="1" s="1"/>
  <c r="T75" i="1"/>
  <c r="T76" i="1" s="1"/>
  <c r="M130" i="1" l="1"/>
  <c r="N130" i="1" s="1"/>
  <c r="O130" i="1" s="1"/>
  <c r="P130" i="1" s="1"/>
  <c r="Q130" i="1" s="1"/>
  <c r="Q100" i="1"/>
  <c r="R98" i="1"/>
  <c r="L133" i="1"/>
  <c r="L134" i="1" s="1"/>
  <c r="L135" i="1" s="1"/>
  <c r="M133" i="1"/>
  <c r="M134" i="1" s="1"/>
  <c r="O133" i="1"/>
  <c r="O134" i="1" s="1"/>
  <c r="P133" i="1"/>
  <c r="P134" i="1" s="1"/>
  <c r="R133" i="1"/>
  <c r="R134" i="1" s="1"/>
  <c r="N133" i="1"/>
  <c r="N134" i="1" s="1"/>
  <c r="Q133" i="1"/>
  <c r="Q134" i="1" s="1"/>
  <c r="T93" i="1"/>
  <c r="T94" i="1" s="1"/>
  <c r="U91" i="1"/>
  <c r="U92" i="1"/>
  <c r="R97" i="1"/>
  <c r="R99" i="1" s="1"/>
  <c r="S95" i="1"/>
  <c r="S96" i="1" s="1"/>
  <c r="U75" i="1"/>
  <c r="U76" i="1" s="1"/>
  <c r="V74" i="1"/>
  <c r="V89" i="1" s="1"/>
  <c r="S98" i="1" l="1"/>
  <c r="O138" i="1"/>
  <c r="O139" i="1" s="1"/>
  <c r="M138" i="1"/>
  <c r="M139" i="1" s="1"/>
  <c r="N138" i="1"/>
  <c r="N139" i="1" s="1"/>
  <c r="Q138" i="1"/>
  <c r="Q139" i="1" s="1"/>
  <c r="L138" i="1"/>
  <c r="L139" i="1" s="1"/>
  <c r="L140" i="1" s="1"/>
  <c r="S138" i="1"/>
  <c r="S139" i="1" s="1"/>
  <c r="R138" i="1"/>
  <c r="R139" i="1" s="1"/>
  <c r="P138" i="1"/>
  <c r="P139" i="1" s="1"/>
  <c r="R100" i="1"/>
  <c r="M135" i="1"/>
  <c r="N135" i="1" s="1"/>
  <c r="O135" i="1" s="1"/>
  <c r="P135" i="1" s="1"/>
  <c r="Q135" i="1" s="1"/>
  <c r="R135" i="1" s="1"/>
  <c r="U93" i="1"/>
  <c r="V91" i="1"/>
  <c r="V92" i="1"/>
  <c r="T95" i="1"/>
  <c r="T96" i="1" s="1"/>
  <c r="S97" i="1"/>
  <c r="S99" i="1" s="1"/>
  <c r="W74" i="1"/>
  <c r="W89" i="1" s="1"/>
  <c r="V75" i="1"/>
  <c r="V76" i="1" s="1"/>
  <c r="M140" i="1" l="1"/>
  <c r="N140" i="1" s="1"/>
  <c r="O140" i="1" s="1"/>
  <c r="P140" i="1" s="1"/>
  <c r="Q140" i="1" s="1"/>
  <c r="R140" i="1" s="1"/>
  <c r="S140" i="1" s="1"/>
  <c r="S100" i="1"/>
  <c r="T98" i="1"/>
  <c r="M143" i="1"/>
  <c r="M144" i="1" s="1"/>
  <c r="O143" i="1"/>
  <c r="O144" i="1" s="1"/>
  <c r="Q143" i="1"/>
  <c r="Q144" i="1" s="1"/>
  <c r="N143" i="1"/>
  <c r="N144" i="1" s="1"/>
  <c r="S143" i="1"/>
  <c r="S144" i="1" s="1"/>
  <c r="T143" i="1"/>
  <c r="T144" i="1" s="1"/>
  <c r="R143" i="1"/>
  <c r="R144" i="1" s="1"/>
  <c r="L143" i="1"/>
  <c r="L144" i="1" s="1"/>
  <c r="L145" i="1" s="1"/>
  <c r="P143" i="1"/>
  <c r="P144" i="1" s="1"/>
  <c r="V93" i="1"/>
  <c r="U94" i="1"/>
  <c r="U95" i="1" s="1"/>
  <c r="U96" i="1" s="1"/>
  <c r="W91" i="1"/>
  <c r="W92" i="1"/>
  <c r="T97" i="1"/>
  <c r="T99" i="1" s="1"/>
  <c r="W75" i="1"/>
  <c r="W76" i="1" s="1"/>
  <c r="X74" i="1"/>
  <c r="M145" i="1" l="1"/>
  <c r="N145" i="1" s="1"/>
  <c r="O145" i="1" s="1"/>
  <c r="P145" i="1" s="1"/>
  <c r="Q145" i="1" s="1"/>
  <c r="R145" i="1" s="1"/>
  <c r="S145" i="1" s="1"/>
  <c r="T145" i="1" s="1"/>
  <c r="T100" i="1"/>
  <c r="U98" i="1"/>
  <c r="R148" i="1"/>
  <c r="R149" i="1" s="1"/>
  <c r="T148" i="1"/>
  <c r="T149" i="1" s="1"/>
  <c r="U148" i="1"/>
  <c r="U149" i="1" s="1"/>
  <c r="S148" i="1"/>
  <c r="S149" i="1" s="1"/>
  <c r="P148" i="1"/>
  <c r="P149" i="1" s="1"/>
  <c r="Q148" i="1"/>
  <c r="Q149" i="1" s="1"/>
  <c r="M148" i="1"/>
  <c r="M149" i="1" s="1"/>
  <c r="N148" i="1"/>
  <c r="N149" i="1" s="1"/>
  <c r="L148" i="1"/>
  <c r="L149" i="1" s="1"/>
  <c r="L150" i="1" s="1"/>
  <c r="O148" i="1"/>
  <c r="O149" i="1" s="1"/>
  <c r="W93" i="1"/>
  <c r="W94" i="1" s="1"/>
  <c r="V94" i="1"/>
  <c r="V95" i="1" s="1"/>
  <c r="V96" i="1" s="1"/>
  <c r="X75" i="1"/>
  <c r="X76" i="1" s="1"/>
  <c r="Y74" i="1"/>
  <c r="X89" i="1"/>
  <c r="U97" i="1"/>
  <c r="U99" i="1" s="1"/>
  <c r="M150" i="1" l="1"/>
  <c r="N150" i="1" s="1"/>
  <c r="O150" i="1" s="1"/>
  <c r="P150" i="1" s="1"/>
  <c r="Q150" i="1" s="1"/>
  <c r="R150" i="1" s="1"/>
  <c r="S150" i="1" s="1"/>
  <c r="T150" i="1" s="1"/>
  <c r="U150" i="1" s="1"/>
  <c r="U100" i="1"/>
  <c r="V98" i="1"/>
  <c r="S153" i="1"/>
  <c r="S154" i="1" s="1"/>
  <c r="Q153" i="1"/>
  <c r="Q154" i="1" s="1"/>
  <c r="R153" i="1"/>
  <c r="R154" i="1" s="1"/>
  <c r="N153" i="1"/>
  <c r="N154" i="1" s="1"/>
  <c r="U153" i="1"/>
  <c r="U154" i="1" s="1"/>
  <c r="P153" i="1"/>
  <c r="P154" i="1" s="1"/>
  <c r="T153" i="1"/>
  <c r="T154" i="1" s="1"/>
  <c r="V153" i="1"/>
  <c r="V154" i="1" s="1"/>
  <c r="L153" i="1"/>
  <c r="L154" i="1" s="1"/>
  <c r="L155" i="1" s="1"/>
  <c r="O153" i="1"/>
  <c r="O154" i="1" s="1"/>
  <c r="M153" i="1"/>
  <c r="M154" i="1" s="1"/>
  <c r="X91" i="1"/>
  <c r="X93" i="1" s="1"/>
  <c r="X92" i="1"/>
  <c r="Y75" i="1"/>
  <c r="Y76" i="1" s="1"/>
  <c r="Y89" i="1"/>
  <c r="W95" i="1"/>
  <c r="W96" i="1" s="1"/>
  <c r="V97" i="1"/>
  <c r="V99" i="1" s="1"/>
  <c r="V100" i="1" l="1"/>
  <c r="M155" i="1"/>
  <c r="N155" i="1" s="1"/>
  <c r="O155" i="1" s="1"/>
  <c r="P155" i="1" s="1"/>
  <c r="Q155" i="1" s="1"/>
  <c r="R155" i="1" s="1"/>
  <c r="S155" i="1" s="1"/>
  <c r="T155" i="1" s="1"/>
  <c r="U155" i="1" s="1"/>
  <c r="V155" i="1" s="1"/>
  <c r="W98" i="1"/>
  <c r="U158" i="1"/>
  <c r="U159" i="1" s="1"/>
  <c r="T158" i="1"/>
  <c r="T159" i="1" s="1"/>
  <c r="V158" i="1"/>
  <c r="V159" i="1" s="1"/>
  <c r="W158" i="1"/>
  <c r="W159" i="1" s="1"/>
  <c r="O158" i="1"/>
  <c r="O159" i="1" s="1"/>
  <c r="L158" i="1"/>
  <c r="L159" i="1" s="1"/>
  <c r="L160" i="1" s="1"/>
  <c r="N158" i="1"/>
  <c r="N159" i="1" s="1"/>
  <c r="S158" i="1"/>
  <c r="S159" i="1" s="1"/>
  <c r="Q158" i="1"/>
  <c r="Q159" i="1" s="1"/>
  <c r="P158" i="1"/>
  <c r="P159" i="1" s="1"/>
  <c r="M158" i="1"/>
  <c r="M159" i="1" s="1"/>
  <c r="R158" i="1"/>
  <c r="R159" i="1" s="1"/>
  <c r="X94" i="1"/>
  <c r="X95" i="1" s="1"/>
  <c r="X96" i="1" s="1"/>
  <c r="Y92" i="1"/>
  <c r="Y91" i="1"/>
  <c r="Y93" i="1" s="1"/>
  <c r="W97" i="1"/>
  <c r="W99" i="1" s="1"/>
  <c r="W100" i="1" l="1"/>
  <c r="M160" i="1"/>
  <c r="N160" i="1" s="1"/>
  <c r="O160" i="1" s="1"/>
  <c r="P160" i="1" s="1"/>
  <c r="Q160" i="1" s="1"/>
  <c r="R160" i="1" s="1"/>
  <c r="S160" i="1" s="1"/>
  <c r="T160" i="1" s="1"/>
  <c r="U160" i="1" s="1"/>
  <c r="V160" i="1" s="1"/>
  <c r="W160" i="1" s="1"/>
  <c r="X98" i="1"/>
  <c r="R163" i="1"/>
  <c r="R164" i="1" s="1"/>
  <c r="P163" i="1"/>
  <c r="P164" i="1" s="1"/>
  <c r="Q163" i="1"/>
  <c r="Q164" i="1" s="1"/>
  <c r="T163" i="1"/>
  <c r="T164" i="1" s="1"/>
  <c r="W163" i="1"/>
  <c r="W164" i="1" s="1"/>
  <c r="M163" i="1"/>
  <c r="M164" i="1" s="1"/>
  <c r="X163" i="1"/>
  <c r="X164" i="1" s="1"/>
  <c r="O163" i="1"/>
  <c r="O164" i="1" s="1"/>
  <c r="N163" i="1"/>
  <c r="N164" i="1" s="1"/>
  <c r="V163" i="1"/>
  <c r="V164" i="1" s="1"/>
  <c r="U163" i="1"/>
  <c r="U164" i="1" s="1"/>
  <c r="L163" i="1"/>
  <c r="L164" i="1" s="1"/>
  <c r="L165" i="1" s="1"/>
  <c r="S163" i="1"/>
  <c r="S164" i="1" s="1"/>
  <c r="Y94" i="1"/>
  <c r="Y95" i="1" s="1"/>
  <c r="Y96" i="1" s="1"/>
  <c r="X97" i="1"/>
  <c r="X99" i="1" s="1"/>
  <c r="X100" i="1" l="1"/>
  <c r="Y98" i="1"/>
  <c r="Q168" i="1"/>
  <c r="Q169" i="1" s="1"/>
  <c r="T168" i="1"/>
  <c r="T169" i="1" s="1"/>
  <c r="W168" i="1"/>
  <c r="W169" i="1" s="1"/>
  <c r="V168" i="1"/>
  <c r="V169" i="1" s="1"/>
  <c r="R168" i="1"/>
  <c r="R169" i="1" s="1"/>
  <c r="U168" i="1"/>
  <c r="U169" i="1" s="1"/>
  <c r="S168" i="1"/>
  <c r="S169" i="1" s="1"/>
  <c r="Y168" i="1"/>
  <c r="Y169" i="1" s="1"/>
  <c r="X168" i="1"/>
  <c r="X169" i="1" s="1"/>
  <c r="M168" i="1"/>
  <c r="M169" i="1" s="1"/>
  <c r="P168" i="1"/>
  <c r="P169" i="1" s="1"/>
  <c r="L168" i="1"/>
  <c r="L169" i="1" s="1"/>
  <c r="L170" i="1" s="1"/>
  <c r="N168" i="1"/>
  <c r="N169" i="1" s="1"/>
  <c r="O168" i="1"/>
  <c r="O169" i="1" s="1"/>
  <c r="Y97" i="1"/>
  <c r="Y99" i="1" s="1"/>
  <c r="M165" i="1"/>
  <c r="N165" i="1" s="1"/>
  <c r="O165" i="1" s="1"/>
  <c r="P165" i="1" s="1"/>
  <c r="Q165" i="1" s="1"/>
  <c r="R165" i="1" s="1"/>
  <c r="S165" i="1" s="1"/>
  <c r="T165" i="1" s="1"/>
  <c r="U165" i="1" s="1"/>
  <c r="V165" i="1" s="1"/>
  <c r="W165" i="1" s="1"/>
  <c r="X165" i="1" s="1"/>
  <c r="Y100" i="1" l="1"/>
  <c r="M170" i="1"/>
  <c r="N170" i="1" s="1"/>
  <c r="O170" i="1" s="1"/>
  <c r="P170" i="1" s="1"/>
  <c r="Q170" i="1" s="1"/>
  <c r="R170" i="1" s="1"/>
  <c r="S170" i="1" s="1"/>
  <c r="T170" i="1" s="1"/>
  <c r="U170" i="1" s="1"/>
  <c r="V170" i="1" s="1"/>
  <c r="W170" i="1" s="1"/>
  <c r="X170" i="1" s="1"/>
  <c r="Y170" i="1" s="1"/>
  <c r="H71" i="1"/>
  <c r="P80" i="1" s="1"/>
  <c r="F71" i="1"/>
  <c r="T80" i="1" l="1"/>
  <c r="S80" i="1"/>
  <c r="U80" i="1"/>
  <c r="N80" i="1"/>
  <c r="Y80" i="1"/>
  <c r="X80" i="1"/>
  <c r="O80" i="1"/>
  <c r="M80" i="1"/>
  <c r="R80" i="1"/>
  <c r="L80" i="1"/>
  <c r="W80" i="1"/>
  <c r="Q80" i="1"/>
  <c r="K80" i="1"/>
  <c r="V80" i="1"/>
  <c r="G71" i="1"/>
  <c r="Q79" i="1" l="1"/>
  <c r="S79" i="1"/>
  <c r="U79" i="1"/>
  <c r="V79" i="1"/>
  <c r="W79" i="1"/>
  <c r="L79" i="1"/>
  <c r="R79" i="1"/>
  <c r="M79" i="1"/>
  <c r="T79" i="1"/>
  <c r="N79" i="1"/>
  <c r="O79" i="1"/>
  <c r="K79" i="1"/>
  <c r="P79" i="1"/>
  <c r="X79" i="1"/>
  <c r="Y79" i="1"/>
  <c r="K71" i="1"/>
  <c r="E71" i="1"/>
  <c r="Q70" i="1"/>
  <c r="R70" i="1" s="1"/>
  <c r="U70" i="1"/>
  <c r="AD70" i="1" s="1"/>
  <c r="V70" i="1"/>
  <c r="X70" i="1" s="1"/>
  <c r="M70" i="1"/>
  <c r="N70" i="1" s="1"/>
  <c r="AE70" i="1"/>
  <c r="AN70" i="1" s="1"/>
  <c r="L77" i="1" l="1"/>
  <c r="X77" i="1"/>
  <c r="P77" i="1"/>
  <c r="Q77" i="1"/>
  <c r="M77" i="1"/>
  <c r="Y77" i="1"/>
  <c r="N77" i="1"/>
  <c r="O77" i="1"/>
  <c r="R77" i="1"/>
  <c r="T77" i="1"/>
  <c r="U77" i="1"/>
  <c r="V77" i="1"/>
  <c r="W77" i="1"/>
  <c r="S77" i="1"/>
  <c r="S70" i="1"/>
  <c r="K77" i="1"/>
  <c r="AF70" i="1"/>
  <c r="AH70" i="1" s="1"/>
  <c r="M85" i="1"/>
  <c r="W70" i="1"/>
  <c r="AA70" i="1" s="1"/>
  <c r="L85" i="1"/>
  <c r="V85" i="1"/>
  <c r="P85" i="1"/>
  <c r="T85" i="1"/>
  <c r="W85" i="1"/>
  <c r="K85" i="1"/>
  <c r="X85" i="1"/>
  <c r="N85" i="1"/>
  <c r="R85" i="1"/>
  <c r="S85" i="1"/>
  <c r="O85" i="1"/>
  <c r="Y85" i="1"/>
  <c r="Q85" i="1"/>
  <c r="U85" i="1"/>
  <c r="AG70" i="1" l="1"/>
  <c r="AJ70" i="1" s="1"/>
  <c r="Y70" i="1"/>
  <c r="Z70" i="1"/>
  <c r="AB70" i="1" s="1"/>
  <c r="AC70" i="1" s="1"/>
  <c r="AI70" i="1"/>
  <c r="AK70" i="1"/>
  <c r="M65" i="1"/>
  <c r="N65" i="1" s="1"/>
  <c r="U65" i="1"/>
  <c r="V65" i="1" s="1"/>
  <c r="Q65" i="1"/>
  <c r="R65" i="1" s="1"/>
  <c r="AD65" i="1" l="1"/>
  <c r="AL70" i="1"/>
  <c r="AM70" i="1" s="1"/>
  <c r="AO70" i="1" s="1"/>
  <c r="W65" i="1"/>
  <c r="Y65" i="1" s="1"/>
  <c r="X65" i="1"/>
  <c r="S65" i="1"/>
  <c r="AE65" i="1"/>
  <c r="Z65" i="1" l="1"/>
  <c r="AF65" i="1"/>
  <c r="AN65" i="1"/>
  <c r="AA65" i="1"/>
  <c r="AB65" i="1" s="1"/>
  <c r="AC65" i="1" s="1"/>
  <c r="AH65" i="1" l="1"/>
  <c r="AG65" i="1"/>
  <c r="AK65" i="1" s="1"/>
  <c r="AJ65" i="1" l="1"/>
  <c r="AI65" i="1"/>
  <c r="U66" i="1"/>
  <c r="AL65" i="1" l="1"/>
  <c r="AM65" i="1" s="1"/>
  <c r="AO65" i="1" s="1"/>
  <c r="AD66" i="1"/>
  <c r="V66" i="1"/>
  <c r="AE66" i="1"/>
  <c r="Q66" i="1"/>
  <c r="R66" i="1" s="1"/>
  <c r="M66" i="1"/>
  <c r="N66" i="1" s="1"/>
  <c r="S66" i="1" l="1"/>
  <c r="X66" i="1"/>
  <c r="W66" i="1"/>
  <c r="AA66" i="1" s="1"/>
  <c r="AF66" i="1"/>
  <c r="AN66" i="1"/>
  <c r="Y66" i="1" l="1"/>
  <c r="AG66" i="1"/>
  <c r="AI66" i="1" s="1"/>
  <c r="AH66" i="1"/>
  <c r="AJ66" i="1" s="1"/>
  <c r="Z66" i="1"/>
  <c r="AB66" i="1" s="1"/>
  <c r="AC66" i="1" s="1"/>
  <c r="AK66" i="1" l="1"/>
  <c r="AL66" i="1" s="1"/>
  <c r="AM66" i="1" s="1"/>
  <c r="AO66" i="1" s="1"/>
  <c r="Q67" i="1"/>
  <c r="R67" i="1" s="1"/>
  <c r="M67" i="1" l="1"/>
  <c r="N67" i="1" s="1"/>
  <c r="S67" i="1" s="1"/>
  <c r="U67" i="1"/>
  <c r="AE67" i="1"/>
  <c r="AD67" i="1" l="1"/>
  <c r="V67" i="1"/>
  <c r="AF67" i="1"/>
  <c r="AN67" i="1"/>
  <c r="W67" i="1" l="1"/>
  <c r="Y67" i="1" s="1"/>
  <c r="X67" i="1"/>
  <c r="AH67" i="1"/>
  <c r="AG67" i="1"/>
  <c r="AK67" i="1" s="1"/>
  <c r="AJ67" i="1"/>
  <c r="AI67" i="1" l="1"/>
  <c r="AL67" i="1" s="1"/>
  <c r="AM67" i="1" s="1"/>
  <c r="AA67" i="1"/>
  <c r="Z67" i="1"/>
  <c r="Q68" i="1"/>
  <c r="R68" i="1" s="1"/>
  <c r="AB67" i="1" l="1"/>
  <c r="AC67" i="1" s="1"/>
  <c r="AO67" i="1" s="1"/>
  <c r="AE68" i="1"/>
  <c r="U68" i="1"/>
  <c r="M68" i="1"/>
  <c r="N68" i="1" s="1"/>
  <c r="S68" i="1" s="1"/>
  <c r="AD68" i="1" l="1"/>
  <c r="V68" i="1"/>
  <c r="AN68" i="1"/>
  <c r="AF68" i="1"/>
  <c r="AG68" i="1" l="1"/>
  <c r="AH68" i="1"/>
  <c r="X68" i="1"/>
  <c r="W68" i="1"/>
  <c r="AA68" i="1" s="1"/>
  <c r="AK68" i="1" l="1"/>
  <c r="Z68" i="1"/>
  <c r="Y68" i="1"/>
  <c r="AI68" i="1"/>
  <c r="AJ68" i="1"/>
  <c r="AB68" i="1" l="1"/>
  <c r="AC68" i="1" s="1"/>
  <c r="AL68" i="1"/>
  <c r="AM68" i="1" s="1"/>
  <c r="Q69" i="1"/>
  <c r="R69" i="1" s="1"/>
  <c r="M69" i="1"/>
  <c r="N69" i="1" s="1"/>
  <c r="AE69" i="1"/>
  <c r="AF69" i="1" s="1"/>
  <c r="U69" i="1"/>
  <c r="AD69" i="1" s="1"/>
  <c r="S69" i="1" l="1"/>
  <c r="AO68" i="1"/>
  <c r="AG69" i="1"/>
  <c r="AI69" i="1" s="1"/>
  <c r="AH69" i="1"/>
  <c r="AJ69" i="1"/>
  <c r="AN69" i="1"/>
  <c r="V69" i="1"/>
  <c r="X69" i="1" l="1"/>
  <c r="Z69" i="1"/>
  <c r="W69" i="1"/>
  <c r="AA69" i="1" s="1"/>
  <c r="AK69" i="1"/>
  <c r="AL69" i="1" s="1"/>
  <c r="AM69" i="1" s="1"/>
  <c r="Y69" i="1" l="1"/>
  <c r="AB69" i="1" s="1"/>
  <c r="AC69" i="1" s="1"/>
  <c r="AO69" i="1" s="1"/>
  <c r="U71" i="1"/>
  <c r="P78" i="1" s="1"/>
  <c r="P81" i="1" s="1"/>
  <c r="T78" i="1" l="1"/>
  <c r="T81" i="1" s="1"/>
  <c r="X78" i="1"/>
  <c r="X81" i="1" s="1"/>
  <c r="U78" i="1"/>
  <c r="U81" i="1" s="1"/>
  <c r="O78" i="1"/>
  <c r="O81" i="1" s="1"/>
  <c r="W78" i="1"/>
  <c r="W81" i="1" s="1"/>
  <c r="S78" i="1"/>
  <c r="S81" i="1" s="1"/>
  <c r="Y78" i="1"/>
  <c r="Y81" i="1" s="1"/>
  <c r="L78" i="1"/>
  <c r="L81" i="1" s="1"/>
  <c r="Q78" i="1"/>
  <c r="Q81" i="1" s="1"/>
  <c r="K78" i="1"/>
  <c r="K81" i="1" s="1"/>
  <c r="V78" i="1"/>
  <c r="V81" i="1" s="1"/>
  <c r="R78" i="1"/>
  <c r="R81" i="1" s="1"/>
  <c r="N78" i="1"/>
  <c r="N81" i="1" s="1"/>
  <c r="M78" i="1"/>
  <c r="M81" i="1" s="1"/>
</calcChain>
</file>

<file path=xl/sharedStrings.xml><?xml version="1.0" encoding="utf-8"?>
<sst xmlns="http://schemas.openxmlformats.org/spreadsheetml/2006/main" count="350" uniqueCount="160">
  <si>
    <t>Dane Wejściowe</t>
  </si>
  <si>
    <t>Projektowany Dopływ ścieków</t>
  </si>
  <si>
    <t>Qhmax</t>
  </si>
  <si>
    <t>Rzędna terenu</t>
  </si>
  <si>
    <t>m n.p.m.</t>
  </si>
  <si>
    <t>Rzędna dopływu ścieków</t>
  </si>
  <si>
    <t>Rzędna osi końca przewodu tłocznego</t>
  </si>
  <si>
    <t>Rzędna najwyższego punktu trasy</t>
  </si>
  <si>
    <t>Minimalny czas trwania cyklu pompy</t>
  </si>
  <si>
    <t>min</t>
  </si>
  <si>
    <t>s</t>
  </si>
  <si>
    <t>Legenda</t>
  </si>
  <si>
    <t>Rl</t>
  </si>
  <si>
    <t>Rk</t>
  </si>
  <si>
    <t>Rw</t>
  </si>
  <si>
    <t>Rt</t>
  </si>
  <si>
    <t>T</t>
  </si>
  <si>
    <t>Długość przewody tłocznego</t>
  </si>
  <si>
    <t>L</t>
  </si>
  <si>
    <t>m</t>
  </si>
  <si>
    <t>Wspołczynnik bezpieczeństwa</t>
  </si>
  <si>
    <t>-</t>
  </si>
  <si>
    <t>k</t>
  </si>
  <si>
    <t>=</t>
  </si>
  <si>
    <t>Przepływ obliczeniowy</t>
  </si>
  <si>
    <t>Qp</t>
  </si>
  <si>
    <t>l/s</t>
  </si>
  <si>
    <t>Przyjmuje się jako wydajność pompowni</t>
  </si>
  <si>
    <t>Awaryjna wysokość ścieków w zbiorniku</t>
  </si>
  <si>
    <t>h3</t>
  </si>
  <si>
    <t>Wysokość retencyjna w zbionriku</t>
  </si>
  <si>
    <t>h2</t>
  </si>
  <si>
    <t>Hg</t>
  </si>
  <si>
    <t>Rzędna zwierciadła ścieków</t>
  </si>
  <si>
    <t>Hzw</t>
  </si>
  <si>
    <t>Geometryczna wysokość podnoszenia ścieków</t>
  </si>
  <si>
    <t>Obliczenia wstępne</t>
  </si>
  <si>
    <t>wypełnić</t>
  </si>
  <si>
    <t>zweryfikować</t>
  </si>
  <si>
    <r>
      <t>m</t>
    </r>
    <r>
      <rPr>
        <sz val="11"/>
        <color theme="1"/>
        <rFont val="Calibri"/>
        <family val="2"/>
        <charset val="238"/>
      </rPr>
      <t>³</t>
    </r>
    <r>
      <rPr>
        <sz val="11"/>
        <color theme="1"/>
        <rFont val="Calibri"/>
        <family val="2"/>
        <charset val="238"/>
        <scheme val="minor"/>
      </rPr>
      <t>/h</t>
    </r>
  </si>
  <si>
    <t>m³/h</t>
  </si>
  <si>
    <t>Stała</t>
  </si>
  <si>
    <t>Dana wejściowa</t>
  </si>
  <si>
    <t>Obliczenie</t>
  </si>
  <si>
    <t>Dobór z żródeł zewn. (katalog, nomogram)</t>
  </si>
  <si>
    <t>Dobór średnic</t>
  </si>
  <si>
    <t>Zakres prędkości</t>
  </si>
  <si>
    <t>v</t>
  </si>
  <si>
    <t>:</t>
  </si>
  <si>
    <t>m/s</t>
  </si>
  <si>
    <t>Średnica przewodu</t>
  </si>
  <si>
    <t>Ø</t>
  </si>
  <si>
    <t>mm</t>
  </si>
  <si>
    <t>Straty liniowe</t>
  </si>
  <si>
    <t>i</t>
  </si>
  <si>
    <t>Wsp. strat liniowych</t>
  </si>
  <si>
    <t>Δh</t>
  </si>
  <si>
    <t>Prędkość przepływu</t>
  </si>
  <si>
    <t>Suma współczynników strat miejscowych</t>
  </si>
  <si>
    <t>ζ</t>
  </si>
  <si>
    <t>Straty miejscowe</t>
  </si>
  <si>
    <t>Suma strat na przewodzie</t>
  </si>
  <si>
    <t>Przewód wewnętrzny</t>
  </si>
  <si>
    <t>Przewód zewnętrzny</t>
  </si>
  <si>
    <t>‰</t>
  </si>
  <si>
    <t>Rd</t>
  </si>
  <si>
    <t>Założona długość przewodu wewnętrznego</t>
  </si>
  <si>
    <t>Suma strat na hydraulicznych</t>
  </si>
  <si>
    <t>Σh</t>
  </si>
  <si>
    <t>H</t>
  </si>
  <si>
    <t>Zestaw pompowy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</si>
  <si>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</si>
  <si>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</si>
  <si>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</si>
  <si>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</si>
  <si>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</si>
  <si>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</si>
  <si>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</si>
  <si>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</si>
  <si>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</si>
  <si>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</si>
  <si>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</si>
  <si>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</si>
  <si>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</si>
  <si>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</si>
  <si>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</si>
  <si>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Sprawdzenie</t>
  </si>
  <si>
    <t>Objętość czynna</t>
  </si>
  <si>
    <t>Pole przekroju studni</t>
  </si>
  <si>
    <t>A</t>
  </si>
  <si>
    <r>
      <t>m</t>
    </r>
    <r>
      <rPr>
        <sz val="11"/>
        <color theme="1"/>
        <rFont val="Calibri"/>
        <family val="2"/>
        <charset val="238"/>
      </rPr>
      <t>²</t>
    </r>
  </si>
  <si>
    <t>Vcz</t>
  </si>
  <si>
    <r>
      <t>m</t>
    </r>
    <r>
      <rPr>
        <sz val="11"/>
        <color theme="1"/>
        <rFont val="Calibri"/>
        <family val="2"/>
        <charset val="238"/>
      </rPr>
      <t>³</t>
    </r>
  </si>
  <si>
    <t>Wysokość czynna</t>
  </si>
  <si>
    <t>hcz</t>
  </si>
  <si>
    <t>Założona rzędna wyłączenia pompy</t>
  </si>
  <si>
    <t>Wysokość martwa</t>
  </si>
  <si>
    <t>hm</t>
  </si>
  <si>
    <t>Założona rzedna dna</t>
  </si>
  <si>
    <t>Najpierw była 1 m, w późniejszych oblicze. pominięto</t>
  </si>
  <si>
    <t>Obliczenia punktów pracy:</t>
  </si>
  <si>
    <t>Sprawdzana rzędna [m n.p.m.]:</t>
  </si>
  <si>
    <t>Krok sprawdzanej rzędnej</t>
  </si>
  <si>
    <t>Geometryczna wysokość podnoszenia [m]:</t>
  </si>
  <si>
    <t>Wspołczynniki wielomianu charakterystyki pompy</t>
  </si>
  <si>
    <t>wzór: y = c3 * x^3 + c2 * x^2 + c1 * x + b</t>
  </si>
  <si>
    <t>Zestaw przewodów</t>
  </si>
  <si>
    <t>i [‰]</t>
  </si>
  <si>
    <t>hlin [m]</t>
  </si>
  <si>
    <t>v [m/s]</t>
  </si>
  <si>
    <t>hmsc [m]</t>
  </si>
  <si>
    <t>Straty</t>
  </si>
  <si>
    <t>c0 wielomianu przewodów</t>
  </si>
  <si>
    <t>c3 różnicy wielomianów</t>
  </si>
  <si>
    <t>c2 różnicy wielomianów</t>
  </si>
  <si>
    <t>c1 różnicy wielomianów</t>
  </si>
  <si>
    <t>c0 różnicy wielomianów</t>
  </si>
  <si>
    <t>Wartość wielomianu w Q = 0</t>
  </si>
  <si>
    <t>H punktu pracy</t>
  </si>
  <si>
    <t>Objętość iteracyjna [m³]</t>
  </si>
  <si>
    <t>Średnia wydajność na obj. it. [m³/s]</t>
  </si>
  <si>
    <t>Czas wypompowywania przy brak dopływu [s]</t>
  </si>
  <si>
    <t>Suma czasów [s]</t>
  </si>
  <si>
    <t>Suma objętości [m³]</t>
  </si>
  <si>
    <t>Rzeczywista wydajność pompy [m³/h]</t>
  </si>
  <si>
    <t>Makro</t>
  </si>
  <si>
    <t>uruchomić</t>
  </si>
  <si>
    <t>Dopływ najmniej korzystny [m³/h]</t>
  </si>
  <si>
    <t>Wydajność pompowania z dopływem [m³/h]</t>
  </si>
  <si>
    <t>Czas cyklu [s]</t>
  </si>
  <si>
    <t>Czas postoju pompy (czas napełniania) [s]</t>
  </si>
  <si>
    <t>Czas pracy pompy (czas opróżniania) [s]</t>
  </si>
  <si>
    <t>Średnia wydajność na obj. it. [m³/h]</t>
  </si>
  <si>
    <t>Suma czasów pracy</t>
  </si>
  <si>
    <t>Q punktu pracy [m³/s]</t>
  </si>
  <si>
    <t>[l/s]</t>
  </si>
  <si>
    <t>[m³/h]</t>
  </si>
  <si>
    <t>Q [m³/s]</t>
  </si>
  <si>
    <t>Q [m³/h]</t>
  </si>
  <si>
    <t>Q [l/s]</t>
  </si>
  <si>
    <t>Odczyt z nomogramów</t>
  </si>
  <si>
    <r>
      <t>m</t>
    </r>
    <r>
      <rPr>
        <sz val="11"/>
        <color theme="1"/>
        <rFont val="Calibri"/>
        <family val="2"/>
        <charset val="238"/>
      </rPr>
      <t>²/s</t>
    </r>
  </si>
  <si>
    <t>kinematic viscosity</t>
  </si>
  <si>
    <t>Re [-]</t>
  </si>
  <si>
    <t>a</t>
  </si>
  <si>
    <t>b</t>
  </si>
  <si>
    <t>chropowatość przewodu</t>
  </si>
  <si>
    <t>B</t>
  </si>
  <si>
    <t>C</t>
  </si>
  <si>
    <t>Lambda</t>
  </si>
  <si>
    <t>hmsc</t>
  </si>
  <si>
    <t>Straty [m]</t>
  </si>
  <si>
    <t>x2</t>
  </si>
  <si>
    <t>c</t>
  </si>
  <si>
    <t>x</t>
  </si>
  <si>
    <t>x3</t>
  </si>
  <si>
    <t>Dopływ najmniej korzystny [l/s]</t>
  </si>
  <si>
    <t>,</t>
  </si>
  <si>
    <t>Prędkość w przewodzie wewn [m/s]</t>
  </si>
  <si>
    <t>Prędkość w przewodzie zewn [m/s]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</si>
</sst>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0.000"/>
    <numFmt numFmtId="166" formatCode="0.0000"/>
    <numFmt numFmtId="167" formatCode="0.0000000000"/>
    <numFmt numFmtId="168" formatCode="_-* #,##0.000000000_-;\-* #,##0.000000000_-;_-* &quot;-&quot;??_-;_-@_-"/>
  </numFmts>
  <fonts count="1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8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u/>
      <sz val="14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2" fontId="0" fillId="4" borderId="0" xfId="0" applyNumberFormat="1" applyFill="1"/>
    <xf numFmtId="2" fontId="0" fillId="2" borderId="0" xfId="0" applyNumberFormat="1" applyFill="1" applyAlignment="1"/>
    <xf numFmtId="2" fontId="0" fillId="0" borderId="0" xfId="0" applyNumberFormat="1" applyAlignment="1"/>
    <xf numFmtId="2" fontId="0" fillId="3" borderId="0" xfId="0" applyNumberFormat="1" applyFill="1" applyAlignment="1"/>
    <xf numFmtId="2" fontId="0" fillId="4" borderId="0" xfId="0" applyNumberFormat="1" applyFill="1" applyAlignment="1"/>
    <xf numFmtId="164" fontId="0" fillId="3" borderId="0" xfId="0" applyNumberFormat="1" applyFill="1" applyAlignment="1"/>
    <xf numFmtId="1" fontId="0" fillId="4" borderId="0" xfId="0" applyNumberFormat="1" applyFill="1"/>
    <xf numFmtId="2" fontId="0" fillId="0" borderId="0" xfId="0" applyNumberFormat="1" applyFill="1"/>
    <xf numFmtId="164" fontId="0" fillId="2" borderId="0" xfId="0" applyNumberFormat="1" applyFill="1" applyAlignment="1"/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left"/>
    </xf>
    <xf numFmtId="0" fontId="5" fillId="0" borderId="0" xfId="0" applyFont="1" applyAlignment="1">
      <alignment horizontal="right"/>
    </xf>
    <xf numFmtId="1" fontId="0" fillId="5" borderId="0" xfId="0" applyNumberFormat="1" applyFill="1" applyAlignment="1"/>
    <xf numFmtId="2" fontId="0" fillId="5" borderId="0" xfId="0" applyNumberFormat="1" applyFill="1" applyAlignment="1"/>
    <xf numFmtId="0" fontId="5" fillId="0" borderId="0" xfId="0" applyFont="1"/>
    <xf numFmtId="164" fontId="0" fillId="5" borderId="0" xfId="1" applyNumberFormat="1" applyFont="1" applyFill="1" applyAlignment="1"/>
    <xf numFmtId="164" fontId="0" fillId="0" borderId="0" xfId="0" applyNumberFormat="1" applyFill="1" applyAlignment="1">
      <alignment horizontal="left"/>
    </xf>
    <xf numFmtId="2" fontId="2" fillId="4" borderId="0" xfId="0" applyNumberFormat="1" applyFont="1" applyFill="1" applyAlignment="1"/>
    <xf numFmtId="0" fontId="2" fillId="0" borderId="0" xfId="0" applyFont="1"/>
    <xf numFmtId="0" fontId="6" fillId="0" borderId="0" xfId="0" applyFont="1" applyAlignment="1">
      <alignment horizontal="right"/>
    </xf>
    <xf numFmtId="164" fontId="0" fillId="5" borderId="0" xfId="0" applyNumberFormat="1" applyFill="1" applyAlignment="1"/>
    <xf numFmtId="0" fontId="0" fillId="5" borderId="0" xfId="0" applyFill="1"/>
    <xf numFmtId="2" fontId="0" fillId="6" borderId="0" xfId="0" applyNumberFormat="1" applyFill="1" applyAlignment="1"/>
    <xf numFmtId="0" fontId="8" fillId="0" borderId="0" xfId="0" applyFont="1"/>
    <xf numFmtId="2" fontId="0" fillId="0" borderId="0" xfId="0" applyNumberFormat="1"/>
    <xf numFmtId="2" fontId="0" fillId="0" borderId="0" xfId="0" applyNumberFormat="1" applyAlignment="1">
      <alignment horizontal="right"/>
    </xf>
    <xf numFmtId="164" fontId="0" fillId="5" borderId="0" xfId="0" applyNumberFormat="1" applyFill="1"/>
    <xf numFmtId="165" fontId="0" fillId="4" borderId="0" xfId="0" applyNumberFormat="1" applyFill="1"/>
    <xf numFmtId="165" fontId="0" fillId="4" borderId="0" xfId="0" applyNumberFormat="1" applyFill="1" applyAlignment="1"/>
    <xf numFmtId="0" fontId="4" fillId="0" borderId="0" xfId="0" applyFont="1" applyAlignment="1">
      <alignment horizontal="right"/>
    </xf>
    <xf numFmtId="2" fontId="0" fillId="7" borderId="0" xfId="0" applyNumberFormat="1" applyFill="1" applyAlignment="1"/>
    <xf numFmtId="2" fontId="0" fillId="0" borderId="0" xfId="0" applyNumberFormat="1" applyFill="1" applyAlignment="1"/>
    <xf numFmtId="166" fontId="0" fillId="4" borderId="0" xfId="0" applyNumberFormat="1" applyFill="1"/>
    <xf numFmtId="1" fontId="0" fillId="0" borderId="0" xfId="0" applyNumberFormat="1"/>
    <xf numFmtId="2" fontId="10" fillId="4" borderId="0" xfId="0" applyNumberFormat="1" applyFont="1" applyFill="1"/>
    <xf numFmtId="2" fontId="11" fillId="4" borderId="0" xfId="0" applyNumberFormat="1" applyFont="1" applyFill="1"/>
    <xf numFmtId="166" fontId="0" fillId="7" borderId="0" xfId="0" applyNumberFormat="1" applyFill="1" applyAlignment="1">
      <alignment horizontal="right"/>
    </xf>
    <xf numFmtId="165" fontId="0" fillId="0" borderId="0" xfId="0" applyNumberFormat="1"/>
    <xf numFmtId="164" fontId="0" fillId="0" borderId="0" xfId="0" applyNumberFormat="1" applyFill="1" applyAlignment="1"/>
    <xf numFmtId="167" fontId="0" fillId="3" borderId="0" xfId="0" applyNumberFormat="1" applyFill="1" applyAlignment="1"/>
    <xf numFmtId="168" fontId="0" fillId="0" borderId="0" xfId="2" applyNumberFormat="1" applyFont="1"/>
    <xf numFmtId="166" fontId="0" fillId="5" borderId="0" xfId="0" applyNumberFormat="1" applyFill="1" applyAlignment="1"/>
    <xf numFmtId="166" fontId="0" fillId="4" borderId="0" xfId="0" applyNumberFormat="1" applyFill="1" applyAlignment="1"/>
    <xf numFmtId="2" fontId="0" fillId="4" borderId="0" xfId="0" applyNumberFormat="1" applyFill="1" applyAlignment="1">
      <alignment horizontal="right"/>
    </xf>
    <xf numFmtId="2" fontId="0" fillId="5" borderId="0" xfId="0" applyNumberFormat="1" applyFill="1"/>
    <xf numFmtId="164" fontId="0" fillId="4" borderId="0" xfId="0" applyNumberFormat="1" applyFill="1" applyAlignment="1"/>
    <xf numFmtId="0" fontId="0" fillId="4" borderId="0" xfId="0" applyFill="1"/>
    <xf numFmtId="0" fontId="0" fillId="0" borderId="0" xfId="0" applyAlignment="1">
      <alignment horizontal="center" vertical="center" textRotation="90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</cellXfs>
  <cellStyles count="3">
    <cellStyle name="Dziesiętny" xfId="2" builtinId="3"/>
    <cellStyle name="Normalny" xfId="0" builtinId="0"/>
    <cellStyle name="Procentowy" xfId="1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D7F7-63CE-41C8-BACC-CE02861A201D}">
  <sheetPr codeName="Arkusz1"/>
  <dimension ref="A1:AO180"/>
  <sheetViews>
    <sheetView tabSelected="1" topLeftCell="A37" workbookViewId="0">
      <selection activeCell="E74" sqref="E74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3.85546875" style="7" customWidth="1"/>
    <col min="7" max="7" width="9.5703125" bestFit="1" customWidth="1"/>
    <col min="9" max="9" width="38.28515625" customWidth="1"/>
    <col min="10" max="10" width="41.28515625" customWidth="1"/>
    <col min="11" max="25" width="10.140625" customWidth="1"/>
  </cols>
  <sheetData>
    <row r="1" spans="2:8" ht="33.75" x14ac:dyDescent="0.5">
      <c r="B1" s="1" t="s">
        <v>11</v>
      </c>
    </row>
    <row r="2" spans="2:8" x14ac:dyDescent="0.25">
      <c r="B2" t="s">
        <v>42</v>
      </c>
      <c r="C2" s="54" t="s">
        <v>37</v>
      </c>
      <c r="D2" s="54"/>
      <c r="E2" s="6"/>
    </row>
    <row r="3" spans="2:8" x14ac:dyDescent="0.25">
      <c r="B3" t="s">
        <v>41</v>
      </c>
      <c r="C3" s="54" t="s">
        <v>38</v>
      </c>
      <c r="D3" s="54"/>
      <c r="E3" s="8"/>
    </row>
    <row r="4" spans="2:8" x14ac:dyDescent="0.25">
      <c r="B4" t="s">
        <v>43</v>
      </c>
      <c r="C4" s="54"/>
      <c r="D4" s="54"/>
      <c r="E4" s="9"/>
    </row>
    <row r="5" spans="2:8" x14ac:dyDescent="0.25">
      <c r="B5" t="s">
        <v>44</v>
      </c>
      <c r="C5" s="54" t="s">
        <v>37</v>
      </c>
      <c r="D5" s="54"/>
      <c r="E5" s="18"/>
    </row>
    <row r="6" spans="2:8" x14ac:dyDescent="0.25">
      <c r="B6" t="s">
        <v>125</v>
      </c>
      <c r="C6" s="54" t="s">
        <v>126</v>
      </c>
      <c r="D6" s="54"/>
      <c r="E6" s="35"/>
    </row>
    <row r="7" spans="2:8" x14ac:dyDescent="0.25">
      <c r="C7" s="34"/>
      <c r="D7" s="34"/>
      <c r="E7" s="36"/>
    </row>
    <row r="9" spans="2:8" ht="33.75" x14ac:dyDescent="0.5">
      <c r="B9" s="1" t="s">
        <v>0</v>
      </c>
    </row>
    <row r="10" spans="2:8" x14ac:dyDescent="0.25">
      <c r="B10" t="s">
        <v>1</v>
      </c>
      <c r="C10" s="2" t="s">
        <v>2</v>
      </c>
      <c r="D10" t="s">
        <v>23</v>
      </c>
      <c r="E10" s="6">
        <v>80</v>
      </c>
      <c r="F10" t="s">
        <v>39</v>
      </c>
    </row>
    <row r="11" spans="2:8" x14ac:dyDescent="0.25">
      <c r="B11" t="s">
        <v>3</v>
      </c>
      <c r="C11" s="2" t="s">
        <v>12</v>
      </c>
      <c r="D11" t="s">
        <v>23</v>
      </c>
      <c r="E11" s="6">
        <v>145</v>
      </c>
      <c r="F11" t="s">
        <v>4</v>
      </c>
    </row>
    <row r="12" spans="2:8" x14ac:dyDescent="0.25">
      <c r="B12" t="s">
        <v>5</v>
      </c>
      <c r="C12" s="2" t="s">
        <v>13</v>
      </c>
      <c r="D12" t="s">
        <v>23</v>
      </c>
      <c r="E12" s="6">
        <v>140</v>
      </c>
      <c r="F12" t="s">
        <v>4</v>
      </c>
    </row>
    <row r="13" spans="2:8" x14ac:dyDescent="0.25">
      <c r="B13" t="s">
        <v>6</v>
      </c>
      <c r="C13" s="2" t="s">
        <v>14</v>
      </c>
      <c r="D13" t="s">
        <v>23</v>
      </c>
      <c r="E13" s="6">
        <v>146.69999999999999</v>
      </c>
      <c r="F13" t="s">
        <v>4</v>
      </c>
    </row>
    <row r="14" spans="2:8" x14ac:dyDescent="0.25">
      <c r="B14" t="s">
        <v>7</v>
      </c>
      <c r="C14" s="2" t="s">
        <v>15</v>
      </c>
      <c r="D14" t="s">
        <v>23</v>
      </c>
      <c r="E14" s="6">
        <v>148.12</v>
      </c>
      <c r="F14" t="s">
        <v>4</v>
      </c>
    </row>
    <row r="15" spans="2:8" x14ac:dyDescent="0.25">
      <c r="B15" t="s">
        <v>8</v>
      </c>
      <c r="C15" s="2" t="s">
        <v>16</v>
      </c>
      <c r="D15" t="s">
        <v>23</v>
      </c>
      <c r="E15" s="13">
        <v>8</v>
      </c>
      <c r="F15" t="s">
        <v>9</v>
      </c>
      <c r="G15" s="11">
        <f>E15*60</f>
        <v>480</v>
      </c>
      <c r="H15" t="s">
        <v>10</v>
      </c>
    </row>
    <row r="16" spans="2:8" x14ac:dyDescent="0.25">
      <c r="B16" t="s">
        <v>17</v>
      </c>
      <c r="C16" s="2" t="s">
        <v>18</v>
      </c>
      <c r="D16" t="s">
        <v>23</v>
      </c>
      <c r="E16" s="13">
        <v>732</v>
      </c>
      <c r="F16" t="s">
        <v>19</v>
      </c>
    </row>
    <row r="17" spans="1:9" x14ac:dyDescent="0.25">
      <c r="B17" t="s">
        <v>142</v>
      </c>
      <c r="E17" s="44">
        <v>1.0068E-6</v>
      </c>
      <c r="F17" t="s">
        <v>141</v>
      </c>
    </row>
    <row r="20" spans="1:9" ht="33.75" x14ac:dyDescent="0.5">
      <c r="B20" s="1" t="s">
        <v>36</v>
      </c>
    </row>
    <row r="21" spans="1:9" x14ac:dyDescent="0.25">
      <c r="B21" t="s">
        <v>20</v>
      </c>
      <c r="C21" s="2" t="s">
        <v>22</v>
      </c>
      <c r="D21" t="s">
        <v>23</v>
      </c>
      <c r="E21" s="10">
        <v>1.4</v>
      </c>
      <c r="F21" t="s">
        <v>21</v>
      </c>
    </row>
    <row r="22" spans="1:9" x14ac:dyDescent="0.25">
      <c r="B22" t="s">
        <v>24</v>
      </c>
      <c r="C22" s="2" t="s">
        <v>25</v>
      </c>
      <c r="D22" t="s">
        <v>23</v>
      </c>
      <c r="E22" s="9">
        <f>E10*E21</f>
        <v>112</v>
      </c>
      <c r="F22" t="s">
        <v>40</v>
      </c>
      <c r="G22" s="5">
        <f>E22/3.6</f>
        <v>31.111111111111111</v>
      </c>
      <c r="H22" t="s">
        <v>26</v>
      </c>
      <c r="I22" s="12" t="s">
        <v>27</v>
      </c>
    </row>
    <row r="23" spans="1:9" x14ac:dyDescent="0.25">
      <c r="B23" t="s">
        <v>28</v>
      </c>
      <c r="C23" s="2" t="s">
        <v>29</v>
      </c>
      <c r="D23" t="s">
        <v>23</v>
      </c>
      <c r="E23" s="8">
        <v>0.2</v>
      </c>
      <c r="F23" s="4" t="s">
        <v>19</v>
      </c>
    </row>
    <row r="24" spans="1:9" x14ac:dyDescent="0.25">
      <c r="B24" t="s">
        <v>30</v>
      </c>
      <c r="C24" s="2" t="s">
        <v>31</v>
      </c>
      <c r="D24" t="s">
        <v>23</v>
      </c>
      <c r="E24" s="8">
        <v>0</v>
      </c>
      <c r="F24" s="4" t="s">
        <v>19</v>
      </c>
      <c r="I24" s="28" t="s">
        <v>99</v>
      </c>
    </row>
    <row r="25" spans="1:9" x14ac:dyDescent="0.25">
      <c r="B25" t="s">
        <v>33</v>
      </c>
      <c r="C25" s="2" t="s">
        <v>34</v>
      </c>
      <c r="D25" t="s">
        <v>23</v>
      </c>
      <c r="E25" s="9">
        <f>E12-E23-E24</f>
        <v>139.80000000000001</v>
      </c>
      <c r="F25" s="4" t="s">
        <v>4</v>
      </c>
    </row>
    <row r="26" spans="1:9" x14ac:dyDescent="0.25">
      <c r="B26" t="s">
        <v>35</v>
      </c>
      <c r="C26" s="2" t="s">
        <v>32</v>
      </c>
      <c r="D26" t="s">
        <v>23</v>
      </c>
      <c r="E26" s="9">
        <f>E14-E25</f>
        <v>8.3199999999999932</v>
      </c>
      <c r="F26" s="4" t="s">
        <v>19</v>
      </c>
    </row>
    <row r="29" spans="1:9" ht="33.75" x14ac:dyDescent="0.5">
      <c r="B29" s="1" t="s">
        <v>45</v>
      </c>
    </row>
    <row r="30" spans="1:9" ht="15" customHeight="1" x14ac:dyDescent="0.25">
      <c r="A30" s="52" t="s">
        <v>62</v>
      </c>
      <c r="B30" t="s">
        <v>46</v>
      </c>
      <c r="C30" s="2" t="s">
        <v>47</v>
      </c>
      <c r="D30" t="s">
        <v>48</v>
      </c>
      <c r="E30" s="10">
        <v>1.5</v>
      </c>
      <c r="F30" s="14" t="s">
        <v>21</v>
      </c>
      <c r="G30" s="15">
        <v>2.5</v>
      </c>
      <c r="H30" t="s">
        <v>49</v>
      </c>
    </row>
    <row r="31" spans="1:9" x14ac:dyDescent="0.25">
      <c r="A31" s="52"/>
      <c r="B31" t="s">
        <v>66</v>
      </c>
      <c r="C31" s="2" t="s">
        <v>65</v>
      </c>
      <c r="D31" t="s">
        <v>23</v>
      </c>
      <c r="E31" s="25">
        <v>6</v>
      </c>
      <c r="F31" s="3" t="s">
        <v>19</v>
      </c>
      <c r="G31" s="21"/>
    </row>
    <row r="32" spans="1:9" x14ac:dyDescent="0.25">
      <c r="A32" s="52"/>
      <c r="B32" t="s">
        <v>50</v>
      </c>
      <c r="C32" s="16" t="s">
        <v>51</v>
      </c>
      <c r="D32" t="s">
        <v>23</v>
      </c>
      <c r="E32" s="17">
        <v>150</v>
      </c>
      <c r="F32" t="s">
        <v>52</v>
      </c>
      <c r="G32" s="32">
        <f>POWER((E32/1000)/2, 2)*3.14</f>
        <v>1.7662500000000001E-2</v>
      </c>
      <c r="H32" t="s">
        <v>90</v>
      </c>
    </row>
    <row r="33" spans="1:8" x14ac:dyDescent="0.25">
      <c r="A33" s="52"/>
      <c r="B33" t="s">
        <v>55</v>
      </c>
      <c r="C33" s="2" t="s">
        <v>54</v>
      </c>
      <c r="D33" t="s">
        <v>23</v>
      </c>
      <c r="E33" s="20">
        <v>16</v>
      </c>
      <c r="F33" s="19" t="s">
        <v>64</v>
      </c>
    </row>
    <row r="34" spans="1:8" x14ac:dyDescent="0.25">
      <c r="A34" s="52"/>
      <c r="B34" t="s">
        <v>53</v>
      </c>
      <c r="C34" s="16" t="s">
        <v>56</v>
      </c>
      <c r="D34" t="s">
        <v>23</v>
      </c>
      <c r="E34" s="9">
        <f>E33*E31/1000</f>
        <v>9.6000000000000002E-2</v>
      </c>
      <c r="F34" t="s">
        <v>19</v>
      </c>
    </row>
    <row r="35" spans="1:8" x14ac:dyDescent="0.25">
      <c r="A35" s="52"/>
      <c r="B35" t="s">
        <v>57</v>
      </c>
      <c r="C35" s="2" t="s">
        <v>47</v>
      </c>
      <c r="D35" t="s">
        <v>23</v>
      </c>
      <c r="E35" s="9">
        <f>(4*G$22/1000)/(3.14*POWER(E32/1000, 2))</f>
        <v>1.7614217189588739</v>
      </c>
      <c r="F35" t="s">
        <v>49</v>
      </c>
    </row>
    <row r="36" spans="1:8" x14ac:dyDescent="0.25">
      <c r="A36" s="52"/>
      <c r="B36" t="s">
        <v>58</v>
      </c>
      <c r="C36" s="16" t="s">
        <v>59</v>
      </c>
      <c r="D36" t="s">
        <v>23</v>
      </c>
      <c r="E36" s="18">
        <f>2*0.27+0.6+0.2+2+0.04</f>
        <v>3.38</v>
      </c>
      <c r="F36" t="s">
        <v>21</v>
      </c>
    </row>
    <row r="37" spans="1:8" x14ac:dyDescent="0.25">
      <c r="A37" s="52"/>
      <c r="B37" t="s">
        <v>60</v>
      </c>
      <c r="C37" s="16" t="s">
        <v>56</v>
      </c>
      <c r="D37" t="s">
        <v>23</v>
      </c>
      <c r="E37" s="9">
        <f>E36*POWER(E35, 2)/(2*9.81)</f>
        <v>0.53449591617878256</v>
      </c>
    </row>
    <row r="38" spans="1:8" x14ac:dyDescent="0.25">
      <c r="A38" s="52"/>
      <c r="B38" t="s">
        <v>61</v>
      </c>
      <c r="C38" s="16" t="s">
        <v>56</v>
      </c>
      <c r="D38" t="s">
        <v>23</v>
      </c>
      <c r="E38" s="9">
        <f>E37+E34</f>
        <v>0.63049591617878253</v>
      </c>
    </row>
    <row r="39" spans="1:8" x14ac:dyDescent="0.25">
      <c r="A39" s="52"/>
      <c r="B39" t="s">
        <v>146</v>
      </c>
      <c r="C39" s="16"/>
      <c r="D39" t="s">
        <v>23</v>
      </c>
      <c r="E39" s="46">
        <v>8.0000000000000004E-4</v>
      </c>
      <c r="F39" t="s">
        <v>19</v>
      </c>
    </row>
    <row r="40" spans="1:8" ht="15" customHeight="1" x14ac:dyDescent="0.25">
      <c r="A40" s="52" t="s">
        <v>63</v>
      </c>
      <c r="B40" t="s">
        <v>46</v>
      </c>
      <c r="C40" s="2" t="s">
        <v>47</v>
      </c>
      <c r="D40" t="s">
        <v>48</v>
      </c>
      <c r="E40" s="10">
        <v>0.8</v>
      </c>
      <c r="F40" s="14" t="s">
        <v>21</v>
      </c>
      <c r="G40" s="15">
        <v>1</v>
      </c>
      <c r="H40" t="s">
        <v>49</v>
      </c>
    </row>
    <row r="41" spans="1:8" x14ac:dyDescent="0.25">
      <c r="A41" s="52"/>
      <c r="B41" t="s">
        <v>50</v>
      </c>
      <c r="C41" s="16" t="s">
        <v>51</v>
      </c>
      <c r="D41" t="s">
        <v>23</v>
      </c>
      <c r="E41" s="17">
        <v>200</v>
      </c>
      <c r="F41" t="s">
        <v>52</v>
      </c>
      <c r="G41" s="32">
        <f>POWER((E41/1000)/2, 2)*3.14</f>
        <v>3.1400000000000004E-2</v>
      </c>
      <c r="H41" t="s">
        <v>90</v>
      </c>
    </row>
    <row r="42" spans="1:8" x14ac:dyDescent="0.25">
      <c r="A42" s="52"/>
      <c r="B42" t="s">
        <v>55</v>
      </c>
      <c r="C42" s="2" t="s">
        <v>54</v>
      </c>
      <c r="D42" t="s">
        <v>23</v>
      </c>
      <c r="E42" s="20">
        <v>4.5</v>
      </c>
      <c r="F42" s="19" t="s">
        <v>64</v>
      </c>
    </row>
    <row r="43" spans="1:8" x14ac:dyDescent="0.25">
      <c r="A43" s="52"/>
      <c r="B43" t="s">
        <v>53</v>
      </c>
      <c r="C43" s="16" t="s">
        <v>56</v>
      </c>
      <c r="D43" t="s">
        <v>23</v>
      </c>
      <c r="E43" s="9">
        <f>E42*E$16/1000</f>
        <v>3.294</v>
      </c>
      <c r="F43" t="s">
        <v>19</v>
      </c>
    </row>
    <row r="44" spans="1:8" x14ac:dyDescent="0.25">
      <c r="A44" s="52"/>
      <c r="B44" t="s">
        <v>57</v>
      </c>
      <c r="C44" s="2" t="s">
        <v>47</v>
      </c>
      <c r="D44" t="s">
        <v>23</v>
      </c>
      <c r="E44" s="9">
        <f>(4*G$22/1000)/(3.14*POWER(E41/1000, 2))</f>
        <v>0.99079971691436641</v>
      </c>
      <c r="F44" t="s">
        <v>49</v>
      </c>
    </row>
    <row r="45" spans="1:8" x14ac:dyDescent="0.25">
      <c r="A45" s="52"/>
      <c r="B45" t="s">
        <v>58</v>
      </c>
      <c r="C45" s="16" t="s">
        <v>59</v>
      </c>
      <c r="D45" t="s">
        <v>23</v>
      </c>
      <c r="E45" s="18">
        <v>0</v>
      </c>
      <c r="F45" t="s">
        <v>21</v>
      </c>
    </row>
    <row r="46" spans="1:8" x14ac:dyDescent="0.25">
      <c r="A46" s="52"/>
      <c r="B46" t="s">
        <v>60</v>
      </c>
      <c r="C46" s="16" t="s">
        <v>56</v>
      </c>
      <c r="D46" t="s">
        <v>23</v>
      </c>
      <c r="E46" s="9">
        <f>E45*POWER(E44, 2)/(2*9.81)</f>
        <v>0</v>
      </c>
      <c r="F46" t="s">
        <v>19</v>
      </c>
    </row>
    <row r="47" spans="1:8" x14ac:dyDescent="0.25">
      <c r="A47" s="52"/>
      <c r="B47" t="s">
        <v>61</v>
      </c>
      <c r="C47" s="16" t="s">
        <v>56</v>
      </c>
      <c r="D47" t="s">
        <v>23</v>
      </c>
      <c r="E47" s="9">
        <f>E46+E43</f>
        <v>3.294</v>
      </c>
      <c r="F47" t="s">
        <v>19</v>
      </c>
    </row>
    <row r="48" spans="1:8" x14ac:dyDescent="0.25">
      <c r="A48" s="52"/>
      <c r="B48" t="s">
        <v>146</v>
      </c>
      <c r="C48" s="16"/>
      <c r="D48" t="s">
        <v>23</v>
      </c>
      <c r="E48" s="46">
        <v>5.0000000000000001E-4</v>
      </c>
      <c r="F48" t="s">
        <v>19</v>
      </c>
    </row>
    <row r="49" spans="2:41" x14ac:dyDescent="0.25">
      <c r="B49" s="23" t="s">
        <v>67</v>
      </c>
      <c r="C49" s="24" t="s">
        <v>68</v>
      </c>
      <c r="D49" s="23" t="s">
        <v>23</v>
      </c>
      <c r="E49" s="22">
        <f>E47+E38</f>
        <v>3.9244959161787825</v>
      </c>
      <c r="F49" t="s">
        <v>19</v>
      </c>
    </row>
    <row r="52" spans="2:41" ht="33.75" x14ac:dyDescent="0.5">
      <c r="B52" s="1" t="s">
        <v>70</v>
      </c>
      <c r="C52"/>
      <c r="J52" s="1" t="s">
        <v>106</v>
      </c>
    </row>
    <row r="53" spans="2:41" x14ac:dyDescent="0.25">
      <c r="C53"/>
      <c r="K53" s="55" t="s">
        <v>140</v>
      </c>
      <c r="L53" s="55"/>
      <c r="M53" s="55"/>
      <c r="N53" s="55"/>
      <c r="O53" s="55"/>
      <c r="P53" s="55"/>
      <c r="Q53" s="55"/>
      <c r="R53" s="55"/>
      <c r="S53" s="55"/>
    </row>
    <row r="54" spans="2:41" x14ac:dyDescent="0.25">
      <c r="C54"/>
      <c r="K54" s="55" t="s">
        <v>62</v>
      </c>
      <c r="L54" s="55"/>
      <c r="M54" s="55"/>
      <c r="N54" s="55"/>
      <c r="O54" s="55" t="s">
        <v>63</v>
      </c>
      <c r="P54" s="55"/>
      <c r="Q54" s="55"/>
      <c r="R54" s="55"/>
      <c r="U54" s="55" t="s">
        <v>62</v>
      </c>
      <c r="V54" s="55"/>
      <c r="W54" s="55"/>
      <c r="X54" s="55"/>
      <c r="Y54" s="55"/>
      <c r="Z54" s="55"/>
      <c r="AA54" s="55"/>
      <c r="AB54" s="55"/>
      <c r="AC54" s="55"/>
      <c r="AD54" s="55"/>
      <c r="AE54" s="55" t="s">
        <v>62</v>
      </c>
      <c r="AF54" s="55"/>
      <c r="AG54" s="55"/>
      <c r="AH54" s="55"/>
      <c r="AI54" s="55"/>
      <c r="AJ54" s="55"/>
      <c r="AK54" s="55"/>
      <c r="AL54" s="55"/>
      <c r="AM54" s="55"/>
      <c r="AN54" s="55"/>
    </row>
    <row r="55" spans="2:41" x14ac:dyDescent="0.25">
      <c r="C55"/>
      <c r="E55" s="7" t="s">
        <v>137</v>
      </c>
      <c r="F55" t="s">
        <v>138</v>
      </c>
      <c r="G55" t="s">
        <v>139</v>
      </c>
      <c r="H55" t="s">
        <v>69</v>
      </c>
      <c r="K55" t="s">
        <v>107</v>
      </c>
      <c r="L55" t="s">
        <v>108</v>
      </c>
      <c r="M55" t="s">
        <v>109</v>
      </c>
      <c r="N55" t="s">
        <v>110</v>
      </c>
      <c r="O55" t="s">
        <v>107</v>
      </c>
      <c r="P55" t="s">
        <v>108</v>
      </c>
      <c r="Q55" t="s">
        <v>109</v>
      </c>
      <c r="R55" t="s">
        <v>110</v>
      </c>
      <c r="S55" t="s">
        <v>111</v>
      </c>
      <c r="U55" t="s">
        <v>109</v>
      </c>
      <c r="V55" t="s">
        <v>143</v>
      </c>
      <c r="W55" t="s">
        <v>144</v>
      </c>
      <c r="X55" t="s">
        <v>145</v>
      </c>
      <c r="Y55" t="s">
        <v>89</v>
      </c>
      <c r="Z55" t="s">
        <v>147</v>
      </c>
      <c r="AA55" t="s">
        <v>148</v>
      </c>
      <c r="AB55" t="s">
        <v>149</v>
      </c>
      <c r="AC55" t="s">
        <v>108</v>
      </c>
      <c r="AD55" t="s">
        <v>150</v>
      </c>
      <c r="AE55" t="s">
        <v>109</v>
      </c>
      <c r="AF55" t="s">
        <v>143</v>
      </c>
      <c r="AG55" t="s">
        <v>144</v>
      </c>
      <c r="AH55" t="s">
        <v>145</v>
      </c>
      <c r="AI55" t="s">
        <v>89</v>
      </c>
      <c r="AJ55" t="s">
        <v>147</v>
      </c>
      <c r="AK55" t="s">
        <v>148</v>
      </c>
      <c r="AL55" t="s">
        <v>149</v>
      </c>
      <c r="AM55" t="s">
        <v>108</v>
      </c>
      <c r="AN55" t="s">
        <v>150</v>
      </c>
      <c r="AO55" t="s">
        <v>151</v>
      </c>
    </row>
    <row r="56" spans="2:41" x14ac:dyDescent="0.25">
      <c r="B56" s="43"/>
      <c r="C56" t="s">
        <v>71</v>
      </c>
      <c r="D56" t="s">
        <v>48</v>
      </c>
      <c r="E56" s="47">
        <f>G56/1000</f>
        <v>1.67E-2</v>
      </c>
      <c r="F56" s="50">
        <f>E56*3600</f>
        <v>60.12</v>
      </c>
      <c r="G56" s="49">
        <v>16.7</v>
      </c>
      <c r="H56" s="31">
        <v>14</v>
      </c>
      <c r="I56" s="29"/>
      <c r="K56" s="31">
        <v>4</v>
      </c>
      <c r="L56" s="32">
        <f t="shared" ref="L56:L70" si="0">K56*$E$31/1000</f>
        <v>2.4E-2</v>
      </c>
      <c r="M56" s="5">
        <f>E56/$G$32</f>
        <v>0.9455060155697097</v>
      </c>
      <c r="N56" s="32">
        <f t="shared" ref="N56:N70" si="1">(POWER(M56, 2)/(2*9.81))*$E$36</f>
        <v>0.15400906697845859</v>
      </c>
      <c r="O56" s="26">
        <v>0.8</v>
      </c>
      <c r="P56" s="32">
        <f t="shared" ref="P56:P70" si="2">O56*$E$16/1000</f>
        <v>0.58560000000000001</v>
      </c>
      <c r="Q56" s="5">
        <f>E56/$G$41</f>
        <v>0.53184713375796167</v>
      </c>
      <c r="R56" s="32">
        <f t="shared" ref="R56:R70" si="3">(POWER(Q56, 2)/(2*9.81))*$E$45</f>
        <v>0</v>
      </c>
      <c r="S56" s="32">
        <f>L56+N56+P56+R56</f>
        <v>0.76360906697845854</v>
      </c>
      <c r="U56" s="29">
        <f>E56/$G$32</f>
        <v>0.9455060155697097</v>
      </c>
      <c r="V56" s="38">
        <f>($E$32/1000)*U56/$E$17</f>
        <v>140867.99993589238</v>
      </c>
      <c r="W56" s="45">
        <f>1/(1+POWER((V56/2712), 8.4))</f>
        <v>3.8869560358335904E-15</v>
      </c>
      <c r="X56">
        <f>1/(1+(POWER(V56/(150*(($E$32/1000)/$E$39)),1.8)))</f>
        <v>5.2148819772014403E-2</v>
      </c>
      <c r="Y56" s="29">
        <f>POWER((64/V56), W56)</f>
        <v>0.99999999999997014</v>
      </c>
      <c r="Z56">
        <f>POWER(0.75*LN(V56/5.37), 2*(W56-1)*X56)</f>
        <v>0.80899989231414415</v>
      </c>
      <c r="AA56">
        <f>POWER(0.88*LN(3.41*($E$32/1000/$E$39)), 2*(W56-1)*(1-X56))</f>
        <v>3.7087028852550351E-2</v>
      </c>
      <c r="AB56">
        <f>Y56*Z56*AA56</f>
        <v>3.0003402347963892E-2</v>
      </c>
      <c r="AC56" s="42">
        <f>$E$31*AB56*POWER(U56, 2)/(2*9.81*$E$32/1000)</f>
        <v>5.4683976352535059E-2</v>
      </c>
      <c r="AD56" s="42">
        <f>POWER(U56, 2)*$E$36/(2*9.81)</f>
        <v>0.15400906697845856</v>
      </c>
      <c r="AE56" s="29">
        <f>E56/$G$41</f>
        <v>0.53184713375796167</v>
      </c>
      <c r="AF56" s="38">
        <f>($E$41/1000)*AE56/$E$17</f>
        <v>105650.99995191928</v>
      </c>
      <c r="AG56" s="45">
        <f>1/(1+POWER((AF56/2712), 8.4))</f>
        <v>4.3560716645048946E-14</v>
      </c>
      <c r="AH56">
        <f>1/(1+(POWER(AF56/(150*(($E$41/1000)/$E$48)),1.8)))</f>
        <v>0.26533255762901564</v>
      </c>
      <c r="AI56" s="29">
        <f>POWER((64/AF56), AG56)</f>
        <v>0.99999999999967726</v>
      </c>
      <c r="AJ56">
        <f>POWER(0.75*LN(AF56/5.37), 2*(AG56-1)*AH56)</f>
        <v>0.34534485864247799</v>
      </c>
      <c r="AK56">
        <f>POWER(0.88*LN(3.41*($E$41/1000/$E$48)), 2*(AG56-1)*(1-AH56))</f>
        <v>6.6108309065011847E-2</v>
      </c>
      <c r="AL56">
        <f>AI56*AJ56*AK56</f>
        <v>2.2830164649142393E-2</v>
      </c>
      <c r="AM56" s="42">
        <f>$E$16*AL56*POWER(AE56, 2)/(2*9.81*$E$41/1000)</f>
        <v>1.2046607822108595</v>
      </c>
      <c r="AN56" s="42">
        <f>POWER(AE56, 2)*$E$45/(2*9.81)</f>
        <v>0</v>
      </c>
      <c r="AO56" s="42">
        <f>AC56+AD56+AM56+AN56</f>
        <v>1.4133538255418532</v>
      </c>
    </row>
    <row r="57" spans="2:41" x14ac:dyDescent="0.25">
      <c r="B57" s="43"/>
      <c r="C57" t="s">
        <v>72</v>
      </c>
      <c r="D57" t="s">
        <v>48</v>
      </c>
      <c r="E57" s="47">
        <f t="shared" ref="E57:E70" si="4">G57/1000</f>
        <v>1.9399999999999997E-2</v>
      </c>
      <c r="F57" s="50">
        <f t="shared" ref="F57:F64" si="5">E57*3600</f>
        <v>69.839999999999989</v>
      </c>
      <c r="G57" s="49">
        <v>19.399999999999999</v>
      </c>
      <c r="H57" s="31">
        <v>13.5</v>
      </c>
      <c r="I57" s="29"/>
      <c r="K57" s="31">
        <v>5.8</v>
      </c>
      <c r="L57" s="32">
        <f t="shared" si="0"/>
        <v>3.4799999999999998E-2</v>
      </c>
      <c r="M57" s="5">
        <f t="shared" ref="M57:M70" si="6">E57/$G$32</f>
        <v>1.0983722576079262</v>
      </c>
      <c r="N57" s="32">
        <f t="shared" si="1"/>
        <v>0.20783410107215269</v>
      </c>
      <c r="O57" s="26">
        <v>1.5</v>
      </c>
      <c r="P57" s="32">
        <f t="shared" si="2"/>
        <v>1.0980000000000001</v>
      </c>
      <c r="Q57" s="5">
        <f t="shared" ref="Q57:Q70" si="7">E57/$G$41</f>
        <v>0.61783439490445846</v>
      </c>
      <c r="R57" s="32">
        <f t="shared" si="3"/>
        <v>0</v>
      </c>
      <c r="S57" s="32">
        <f t="shared" ref="S57:S70" si="8">L57+N57+P57+R57</f>
        <v>1.3406341010721528</v>
      </c>
      <c r="U57" s="29">
        <f t="shared" ref="U57:U70" si="9">E57/$G$32</f>
        <v>1.0983722576079262</v>
      </c>
      <c r="V57" s="38">
        <f t="shared" ref="V57:V70" si="10">($E$32/1000)*U57/$E$17</f>
        <v>163643.06579379115</v>
      </c>
      <c r="W57" s="45">
        <f t="shared" ref="W57:W70" si="11">1/(1+POWER((V57/2712), 8.4))</f>
        <v>1.1038077899707939E-15</v>
      </c>
      <c r="X57">
        <f t="shared" ref="X57:X70" si="12">1/(1+(POWER(V57/(150*(($E$32/1000)/$E$39)),1.8)))</f>
        <v>4.0316149728440803E-2</v>
      </c>
      <c r="Y57" s="29">
        <f t="shared" ref="Y57:Y70" si="13">POWER((64/V57), W57)</f>
        <v>0.99999999999999134</v>
      </c>
      <c r="Z57">
        <f t="shared" ref="Z57:Z70" si="14">POWER(0.75*LN(V57/5.37), 2*(W57-1)*X57)</f>
        <v>0.84785798853667682</v>
      </c>
      <c r="AA57">
        <f t="shared" ref="AA57:AA70" si="15">POWER(0.88*LN(3.41*($E$32/1000/$E$39)), 2*(W57-1)*(1-X57))</f>
        <v>3.5592678288347522E-2</v>
      </c>
      <c r="AB57">
        <f t="shared" ref="AB57:AB70" si="16">Y57*Z57*AA57</f>
        <v>3.0177536620191119E-2</v>
      </c>
      <c r="AC57" s="42">
        <f t="shared" ref="AC57:AC70" si="17">$E$31*AB57*POWER(U57, 2)/(2*9.81*$E$32/1000)</f>
        <v>7.4223919479637759E-2</v>
      </c>
      <c r="AD57" s="42">
        <f t="shared" ref="AD57:AD70" si="18">POWER(U57, 2)*$E$36/(2*9.81)</f>
        <v>0.20783410107215269</v>
      </c>
      <c r="AE57" s="29">
        <f t="shared" ref="AE57:AE70" si="19">E57/$G$41</f>
        <v>0.61783439490445846</v>
      </c>
      <c r="AF57" s="38">
        <f t="shared" ref="AF57:AF70" si="20">($E$41/1000)*AE57/$E$17</f>
        <v>122732.29934534336</v>
      </c>
      <c r="AG57" s="45">
        <f t="shared" ref="AG57:AG70" si="21">1/(1+POWER((AF57/2712), 8.4))</f>
        <v>1.2370260411037919E-14</v>
      </c>
      <c r="AH57">
        <f t="shared" ref="AH57:AH70" si="22">1/(1+(POWER(AF57/(150*(($E$41/1000)/$E$48)),1.8)))</f>
        <v>0.21615936562214338</v>
      </c>
      <c r="AI57" s="29">
        <f t="shared" ref="AI57:AI70" si="23">POWER((64/AF57), AG57)</f>
        <v>0.99999999999990652</v>
      </c>
      <c r="AJ57">
        <f t="shared" ref="AJ57:AJ70" si="24">POWER(0.75*LN(AF57/5.37), 2*(AG57-1)*AH57)</f>
        <v>0.41783274599690667</v>
      </c>
      <c r="AK57">
        <f t="shared" ref="AK57:AK70" si="25">POWER(0.88*LN(3.41*($E$41/1000/$E$48)), 2*(AG57-1)*(1-AH57))</f>
        <v>5.5117909191416174E-2</v>
      </c>
      <c r="AL57">
        <f t="shared" ref="AL57:AL70" si="26">AI57*AJ57*AK57</f>
        <v>2.3030067351055408E-2</v>
      </c>
      <c r="AM57" s="42">
        <f t="shared" ref="AM57:AM70" si="27">$E$16*AL57*POWER(AE57, 2)/(2*9.81*$E$41/1000)</f>
        <v>1.6399154373360256</v>
      </c>
      <c r="AN57" s="42">
        <f t="shared" ref="AN57:AN70" si="28">POWER(AE57, 2)*$E$45/(2*9.81)</f>
        <v>0</v>
      </c>
      <c r="AO57" s="42">
        <f t="shared" ref="AO57:AO70" si="29">AC57+AD57+AM57+AN57</f>
        <v>1.921973457887816</v>
      </c>
    </row>
    <row r="58" spans="2:41" x14ac:dyDescent="0.25">
      <c r="B58" s="43"/>
      <c r="C58" t="s">
        <v>73</v>
      </c>
      <c r="D58" t="s">
        <v>48</v>
      </c>
      <c r="E58" s="47">
        <f t="shared" si="4"/>
        <v>2.2200000000000001E-2</v>
      </c>
      <c r="F58" s="50">
        <f t="shared" si="5"/>
        <v>79.92</v>
      </c>
      <c r="G58" s="49">
        <v>22.2</v>
      </c>
      <c r="H58" s="31">
        <v>12.8</v>
      </c>
      <c r="I58" s="29"/>
      <c r="K58" s="31">
        <v>9</v>
      </c>
      <c r="L58" s="32">
        <f t="shared" si="0"/>
        <v>5.3999999999999999E-2</v>
      </c>
      <c r="M58" s="5">
        <f t="shared" si="6"/>
        <v>1.256900212314225</v>
      </c>
      <c r="N58" s="32">
        <f t="shared" si="1"/>
        <v>0.27215686675629652</v>
      </c>
      <c r="O58" s="26">
        <v>2.2000000000000002</v>
      </c>
      <c r="P58" s="32">
        <f t="shared" si="2"/>
        <v>1.6104000000000001</v>
      </c>
      <c r="Q58" s="5">
        <f t="shared" si="7"/>
        <v>0.70700636942675155</v>
      </c>
      <c r="R58" s="32">
        <f t="shared" si="3"/>
        <v>0</v>
      </c>
      <c r="S58" s="32">
        <f t="shared" si="8"/>
        <v>1.9365568667562965</v>
      </c>
      <c r="U58" s="29">
        <f t="shared" si="9"/>
        <v>1.256900212314225</v>
      </c>
      <c r="V58" s="38">
        <f t="shared" si="10"/>
        <v>187261.65260938989</v>
      </c>
      <c r="W58" s="45">
        <f t="shared" si="11"/>
        <v>3.5568291181501163E-16</v>
      </c>
      <c r="X58">
        <f t="shared" si="12"/>
        <v>3.1906269586461609E-2</v>
      </c>
      <c r="Y58" s="29">
        <f t="shared" si="13"/>
        <v>0.99999999999999711</v>
      </c>
      <c r="Z58">
        <f t="shared" si="14"/>
        <v>0.87682969938634125</v>
      </c>
      <c r="AA58">
        <f t="shared" si="15"/>
        <v>3.4567341902973371E-2</v>
      </c>
      <c r="AB58">
        <f t="shared" si="16"/>
        <v>3.0309672009368929E-2</v>
      </c>
      <c r="AC58" s="42">
        <f t="shared" si="17"/>
        <v>9.7621128597406751E-2</v>
      </c>
      <c r="AD58" s="42">
        <f t="shared" si="18"/>
        <v>0.27215686675629652</v>
      </c>
      <c r="AE58" s="29">
        <f t="shared" si="19"/>
        <v>0.70700636942675155</v>
      </c>
      <c r="AF58" s="38">
        <f t="shared" si="20"/>
        <v>140446.23945704242</v>
      </c>
      <c r="AG58" s="45">
        <f t="shared" si="21"/>
        <v>3.9861018221518566E-15</v>
      </c>
      <c r="AH58">
        <f t="shared" si="22"/>
        <v>0.17786725058632616</v>
      </c>
      <c r="AI58" s="29">
        <f t="shared" si="23"/>
        <v>0.99999999999996936</v>
      </c>
      <c r="AJ58">
        <f t="shared" si="24"/>
        <v>0.48537744099470903</v>
      </c>
      <c r="AK58">
        <f t="shared" si="25"/>
        <v>4.7841245355972901E-2</v>
      </c>
      <c r="AL58">
        <f t="shared" si="26"/>
        <v>2.3221061244881422E-2</v>
      </c>
      <c r="AM58" s="42">
        <f t="shared" si="27"/>
        <v>2.1652637193151132</v>
      </c>
      <c r="AN58" s="42">
        <f t="shared" si="28"/>
        <v>0</v>
      </c>
      <c r="AO58" s="42">
        <f t="shared" si="29"/>
        <v>2.5350417146688162</v>
      </c>
    </row>
    <row r="59" spans="2:41" x14ac:dyDescent="0.25">
      <c r="B59" s="43"/>
      <c r="C59" t="s">
        <v>74</v>
      </c>
      <c r="D59" t="s">
        <v>48</v>
      </c>
      <c r="E59" s="47">
        <f t="shared" si="4"/>
        <v>2.5000000000000001E-2</v>
      </c>
      <c r="F59" s="50">
        <f t="shared" si="5"/>
        <v>90</v>
      </c>
      <c r="G59" s="49">
        <v>25</v>
      </c>
      <c r="H59" s="31">
        <v>12</v>
      </c>
      <c r="I59" s="29"/>
      <c r="K59" s="31">
        <v>11.5</v>
      </c>
      <c r="L59" s="32">
        <f t="shared" si="0"/>
        <v>6.9000000000000006E-2</v>
      </c>
      <c r="M59" s="5">
        <f t="shared" si="6"/>
        <v>1.4154281670205238</v>
      </c>
      <c r="N59" s="32">
        <f t="shared" si="1"/>
        <v>0.34513846628253664</v>
      </c>
      <c r="O59" s="26">
        <v>2.9</v>
      </c>
      <c r="P59" s="32">
        <f t="shared" si="2"/>
        <v>2.1227999999999998</v>
      </c>
      <c r="Q59" s="5">
        <f t="shared" si="7"/>
        <v>0.79617834394904452</v>
      </c>
      <c r="R59" s="32">
        <f t="shared" si="3"/>
        <v>0</v>
      </c>
      <c r="S59" s="32">
        <f t="shared" si="8"/>
        <v>2.5369384662825363</v>
      </c>
      <c r="U59" s="29">
        <f t="shared" si="9"/>
        <v>1.4154281670205238</v>
      </c>
      <c r="V59" s="38">
        <f t="shared" si="10"/>
        <v>210880.23942498863</v>
      </c>
      <c r="W59" s="45">
        <f t="shared" si="11"/>
        <v>1.311390137844308E-16</v>
      </c>
      <c r="X59">
        <f t="shared" si="12"/>
        <v>2.5923580864172877E-2</v>
      </c>
      <c r="Y59" s="29">
        <f t="shared" si="13"/>
        <v>0.99999999999999889</v>
      </c>
      <c r="Z59">
        <f t="shared" si="14"/>
        <v>0.89818301509512832</v>
      </c>
      <c r="AA59">
        <f t="shared" si="15"/>
        <v>3.3855960401360671E-2</v>
      </c>
      <c r="AB59">
        <f t="shared" si="16"/>
        <v>3.0408848592235364E-2</v>
      </c>
      <c r="AC59" s="42">
        <f t="shared" si="17"/>
        <v>0.12420430017209452</v>
      </c>
      <c r="AD59" s="42">
        <f t="shared" si="18"/>
        <v>0.34513846628253664</v>
      </c>
      <c r="AE59" s="29">
        <f t="shared" si="19"/>
        <v>0.79617834394904452</v>
      </c>
      <c r="AF59" s="38">
        <f t="shared" si="20"/>
        <v>158160.17956874147</v>
      </c>
      <c r="AG59" s="45">
        <f t="shared" si="21"/>
        <v>1.4696614440481887E-15</v>
      </c>
      <c r="AH59">
        <f t="shared" si="22"/>
        <v>0.14872012687063335</v>
      </c>
      <c r="AI59" s="29">
        <f t="shared" si="23"/>
        <v>0.99999999999998856</v>
      </c>
      <c r="AJ59">
        <f t="shared" si="24"/>
        <v>0.54453023503288578</v>
      </c>
      <c r="AK59">
        <f t="shared" si="25"/>
        <v>4.2953388590045195E-2</v>
      </c>
      <c r="AL59">
        <f t="shared" si="26"/>
        <v>2.3389418784395918E-2</v>
      </c>
      <c r="AM59" s="42">
        <f t="shared" si="27"/>
        <v>2.7658093056330273</v>
      </c>
      <c r="AN59" s="42">
        <f t="shared" si="28"/>
        <v>0</v>
      </c>
      <c r="AO59" s="42">
        <f t="shared" si="29"/>
        <v>3.2351520720876583</v>
      </c>
    </row>
    <row r="60" spans="2:41" x14ac:dyDescent="0.25">
      <c r="B60" s="43"/>
      <c r="C60" t="s">
        <v>75</v>
      </c>
      <c r="D60" t="s">
        <v>48</v>
      </c>
      <c r="E60" s="47">
        <f t="shared" si="4"/>
        <v>2.7800000000000002E-2</v>
      </c>
      <c r="F60" s="50">
        <f t="shared" si="5"/>
        <v>100.08000000000001</v>
      </c>
      <c r="G60" s="49">
        <v>27.8</v>
      </c>
      <c r="H60" s="31">
        <v>11.3</v>
      </c>
      <c r="I60" s="29"/>
      <c r="K60" s="31">
        <v>14</v>
      </c>
      <c r="L60" s="32">
        <f t="shared" si="0"/>
        <v>8.4000000000000005E-2</v>
      </c>
      <c r="M60" s="5">
        <f t="shared" si="6"/>
        <v>1.5739561217268223</v>
      </c>
      <c r="N60" s="32">
        <f t="shared" si="1"/>
        <v>0.42677889965087296</v>
      </c>
      <c r="O60" s="26">
        <v>3.6</v>
      </c>
      <c r="P60" s="32">
        <f t="shared" si="2"/>
        <v>2.6352000000000002</v>
      </c>
      <c r="Q60" s="5">
        <f t="shared" si="7"/>
        <v>0.88535031847133749</v>
      </c>
      <c r="R60" s="32">
        <f t="shared" si="3"/>
        <v>0</v>
      </c>
      <c r="S60" s="32">
        <f t="shared" si="8"/>
        <v>3.1459788996508733</v>
      </c>
      <c r="U60" s="29">
        <f t="shared" si="9"/>
        <v>1.5739561217268223</v>
      </c>
      <c r="V60" s="38">
        <f t="shared" si="10"/>
        <v>234498.82624058734</v>
      </c>
      <c r="W60" s="45">
        <f t="shared" si="11"/>
        <v>5.3759064224365512E-17</v>
      </c>
      <c r="X60">
        <f t="shared" si="12"/>
        <v>2.1511421249752267E-2</v>
      </c>
      <c r="Y60" s="29">
        <f t="shared" si="13"/>
        <v>0.99999999999999956</v>
      </c>
      <c r="Z60">
        <f t="shared" si="14"/>
        <v>0.91435638713905898</v>
      </c>
      <c r="AA60">
        <f t="shared" si="15"/>
        <v>3.3340721893637439E-2</v>
      </c>
      <c r="AB60">
        <f t="shared" si="16"/>
        <v>3.048530201527444E-2</v>
      </c>
      <c r="AC60" s="42">
        <f t="shared" si="17"/>
        <v>0.15397022070536528</v>
      </c>
      <c r="AD60" s="42">
        <f t="shared" si="18"/>
        <v>0.4267788996508729</v>
      </c>
      <c r="AE60" s="29">
        <f t="shared" si="19"/>
        <v>0.88535031847133749</v>
      </c>
      <c r="AF60" s="38">
        <f t="shared" si="20"/>
        <v>175874.11968044049</v>
      </c>
      <c r="AG60" s="45">
        <f t="shared" si="21"/>
        <v>6.0247230537005128E-16</v>
      </c>
      <c r="AH60">
        <f t="shared" si="22"/>
        <v>0.12611406242991499</v>
      </c>
      <c r="AI60" s="29">
        <f t="shared" si="23"/>
        <v>0.99999999999999523</v>
      </c>
      <c r="AJ60">
        <f t="shared" si="24"/>
        <v>0.59569431903422565</v>
      </c>
      <c r="AK60">
        <f t="shared" si="25"/>
        <v>3.9509010413905143E-2</v>
      </c>
      <c r="AL60">
        <f t="shared" si="26"/>
        <v>2.353529305422724E-2</v>
      </c>
      <c r="AM60" s="42">
        <f t="shared" si="27"/>
        <v>3.4413749127219173</v>
      </c>
      <c r="AN60" s="42">
        <f t="shared" si="28"/>
        <v>0</v>
      </c>
      <c r="AO60" s="42">
        <f t="shared" si="29"/>
        <v>4.0221240330781551</v>
      </c>
    </row>
    <row r="61" spans="2:41" x14ac:dyDescent="0.25">
      <c r="B61" s="43"/>
      <c r="C61" t="s">
        <v>76</v>
      </c>
      <c r="D61" t="s">
        <v>48</v>
      </c>
      <c r="E61" s="47">
        <f t="shared" si="4"/>
        <v>3.0600000000000002E-2</v>
      </c>
      <c r="F61" s="50">
        <f t="shared" si="5"/>
        <v>110.16000000000001</v>
      </c>
      <c r="G61" s="49">
        <v>30.6</v>
      </c>
      <c r="H61" s="31">
        <v>10.6</v>
      </c>
      <c r="I61" s="29"/>
      <c r="K61" s="31">
        <v>16.7</v>
      </c>
      <c r="L61" s="32">
        <f t="shared" si="0"/>
        <v>0.10019999999999998</v>
      </c>
      <c r="M61" s="5">
        <f t="shared" si="6"/>
        <v>1.7324840764331211</v>
      </c>
      <c r="N61" s="32">
        <f t="shared" si="1"/>
        <v>0.51707816686130559</v>
      </c>
      <c r="O61" s="26">
        <v>4.4000000000000004</v>
      </c>
      <c r="P61" s="32">
        <f t="shared" si="2"/>
        <v>3.2208000000000001</v>
      </c>
      <c r="Q61" s="5">
        <f t="shared" si="7"/>
        <v>0.97452229299363047</v>
      </c>
      <c r="R61" s="32">
        <f t="shared" si="3"/>
        <v>0</v>
      </c>
      <c r="S61" s="32">
        <f t="shared" si="8"/>
        <v>3.8380781668613055</v>
      </c>
      <c r="U61" s="29">
        <f t="shared" si="9"/>
        <v>1.7324840764331211</v>
      </c>
      <c r="V61" s="38">
        <f t="shared" si="10"/>
        <v>258117.41305618608</v>
      </c>
      <c r="W61" s="45">
        <f t="shared" si="11"/>
        <v>2.4008664550298E-17</v>
      </c>
      <c r="X61">
        <f t="shared" si="12"/>
        <v>1.8160832880247096E-2</v>
      </c>
      <c r="Y61" s="29">
        <f t="shared" si="13"/>
        <v>0.99999999999999978</v>
      </c>
      <c r="Z61">
        <f t="shared" si="14"/>
        <v>0.92689608796462541</v>
      </c>
      <c r="AA61">
        <f t="shared" si="15"/>
        <v>3.2954695096359801E-2</v>
      </c>
      <c r="AB61">
        <f t="shared" si="16"/>
        <v>3.0545577964882917E-2</v>
      </c>
      <c r="AC61" s="42">
        <f t="shared" si="17"/>
        <v>0.18691658532308583</v>
      </c>
      <c r="AD61" s="42">
        <f t="shared" si="18"/>
        <v>0.5170781668613057</v>
      </c>
      <c r="AE61" s="29">
        <f t="shared" si="19"/>
        <v>0.97452229299363047</v>
      </c>
      <c r="AF61" s="38">
        <f t="shared" si="20"/>
        <v>193588.05979213954</v>
      </c>
      <c r="AG61" s="45">
        <f t="shared" si="21"/>
        <v>2.6906263509546572E-16</v>
      </c>
      <c r="AH61">
        <f t="shared" si="22"/>
        <v>0.10827357268885245</v>
      </c>
      <c r="AI61" s="29">
        <f t="shared" si="23"/>
        <v>0.99999999999999789</v>
      </c>
      <c r="AJ61">
        <f t="shared" si="24"/>
        <v>0.6397131311609533</v>
      </c>
      <c r="AK61">
        <f t="shared" si="25"/>
        <v>3.6986865667613542E-2</v>
      </c>
      <c r="AL61">
        <f t="shared" si="26"/>
        <v>2.3660983648058572E-2</v>
      </c>
      <c r="AM61" s="42">
        <f t="shared" si="27"/>
        <v>4.1917795499282811</v>
      </c>
      <c r="AN61" s="42">
        <f t="shared" si="28"/>
        <v>0</v>
      </c>
      <c r="AO61" s="42">
        <f t="shared" si="29"/>
        <v>4.8957743021126729</v>
      </c>
    </row>
    <row r="62" spans="2:41" x14ac:dyDescent="0.25">
      <c r="B62" s="43"/>
      <c r="C62" t="s">
        <v>77</v>
      </c>
      <c r="D62" t="s">
        <v>48</v>
      </c>
      <c r="E62" s="47">
        <f t="shared" si="4"/>
        <v>3.3299999999999996E-2</v>
      </c>
      <c r="F62" s="50">
        <f t="shared" si="5"/>
        <v>119.87999999999998</v>
      </c>
      <c r="G62" s="49">
        <v>33.299999999999997</v>
      </c>
      <c r="H62" s="31">
        <v>9.8000000000000007</v>
      </c>
      <c r="I62" s="29"/>
      <c r="K62" s="31">
        <v>19</v>
      </c>
      <c r="L62" s="32">
        <f t="shared" si="0"/>
        <v>0.114</v>
      </c>
      <c r="M62" s="5">
        <f t="shared" si="6"/>
        <v>1.8853503184713372</v>
      </c>
      <c r="N62" s="32">
        <f t="shared" si="1"/>
        <v>0.61235295020166691</v>
      </c>
      <c r="O62" s="26">
        <v>5.0999999999999996</v>
      </c>
      <c r="P62" s="32">
        <f t="shared" si="2"/>
        <v>3.7331999999999996</v>
      </c>
      <c r="Q62" s="5">
        <f t="shared" si="7"/>
        <v>1.060509554140127</v>
      </c>
      <c r="R62" s="32">
        <f t="shared" si="3"/>
        <v>0</v>
      </c>
      <c r="S62" s="32">
        <f t="shared" si="8"/>
        <v>4.4595529502016662</v>
      </c>
      <c r="U62" s="29">
        <f t="shared" si="9"/>
        <v>1.8853503184713372</v>
      </c>
      <c r="V62" s="38">
        <f t="shared" si="10"/>
        <v>280892.47891408479</v>
      </c>
      <c r="W62" s="45">
        <f t="shared" si="11"/>
        <v>1.1800391733657997E-17</v>
      </c>
      <c r="X62">
        <f t="shared" si="12"/>
        <v>1.5636865373578099E-2</v>
      </c>
      <c r="Y62" s="29">
        <f t="shared" si="13"/>
        <v>0.99999999999999989</v>
      </c>
      <c r="Z62">
        <f t="shared" si="14"/>
        <v>0.93649812331390125</v>
      </c>
      <c r="AA62">
        <f t="shared" si="15"/>
        <v>3.2666858994480401E-2</v>
      </c>
      <c r="AB62">
        <f t="shared" si="16"/>
        <v>3.0592452142890726E-2</v>
      </c>
      <c r="AC62" s="42">
        <f t="shared" si="17"/>
        <v>0.22169678489470351</v>
      </c>
      <c r="AD62" s="42">
        <f t="shared" si="18"/>
        <v>0.61235295020166691</v>
      </c>
      <c r="AE62" s="29">
        <f t="shared" si="19"/>
        <v>1.060509554140127</v>
      </c>
      <c r="AF62" s="38">
        <f t="shared" si="20"/>
        <v>210669.35918556358</v>
      </c>
      <c r="AG62" s="45">
        <f t="shared" si="21"/>
        <v>1.3224577686797413E-16</v>
      </c>
      <c r="AH62">
        <f t="shared" si="22"/>
        <v>9.4430357188503691E-2</v>
      </c>
      <c r="AI62" s="29">
        <f t="shared" si="23"/>
        <v>0.99999999999999889</v>
      </c>
      <c r="AJ62">
        <f t="shared" si="24"/>
        <v>0.67628927465723809</v>
      </c>
      <c r="AK62">
        <f t="shared" si="25"/>
        <v>3.5141299100982196E-2</v>
      </c>
      <c r="AL62">
        <f t="shared" si="26"/>
        <v>2.3765683679516276E-2</v>
      </c>
      <c r="AM62" s="42">
        <f t="shared" si="27"/>
        <v>4.9861066731593713</v>
      </c>
      <c r="AN62" s="42">
        <f t="shared" si="28"/>
        <v>0</v>
      </c>
      <c r="AO62" s="42">
        <f t="shared" si="29"/>
        <v>5.820156408255742</v>
      </c>
    </row>
    <row r="63" spans="2:41" x14ac:dyDescent="0.25">
      <c r="B63" s="43"/>
      <c r="C63" t="s">
        <v>78</v>
      </c>
      <c r="D63" t="s">
        <v>48</v>
      </c>
      <c r="E63" s="47">
        <f t="shared" si="4"/>
        <v>3.61E-2</v>
      </c>
      <c r="F63" s="50">
        <f t="shared" si="5"/>
        <v>129.96</v>
      </c>
      <c r="G63" s="49">
        <v>36.1</v>
      </c>
      <c r="H63" s="31">
        <v>9</v>
      </c>
      <c r="I63" s="29"/>
      <c r="K63" s="31">
        <v>21.3</v>
      </c>
      <c r="L63" s="32">
        <f t="shared" si="0"/>
        <v>0.12780000000000002</v>
      </c>
      <c r="M63" s="5">
        <f t="shared" si="6"/>
        <v>2.0438782731776359</v>
      </c>
      <c r="N63" s="32">
        <f t="shared" si="1"/>
        <v>0.71966064103050309</v>
      </c>
      <c r="O63" s="26">
        <v>5.8</v>
      </c>
      <c r="P63" s="32">
        <f t="shared" si="2"/>
        <v>4.2455999999999996</v>
      </c>
      <c r="Q63" s="5">
        <f t="shared" si="7"/>
        <v>1.1496815286624202</v>
      </c>
      <c r="R63" s="32">
        <f t="shared" si="3"/>
        <v>0</v>
      </c>
      <c r="S63" s="32">
        <f t="shared" si="8"/>
        <v>5.0930606410305028</v>
      </c>
      <c r="U63" s="29">
        <f t="shared" si="9"/>
        <v>2.0438782731776359</v>
      </c>
      <c r="V63" s="38">
        <f t="shared" si="10"/>
        <v>304511.0657296835</v>
      </c>
      <c r="W63" s="45">
        <f t="shared" si="11"/>
        <v>5.9891817164754782E-18</v>
      </c>
      <c r="X63">
        <f t="shared" si="12"/>
        <v>1.3550516924375167E-2</v>
      </c>
      <c r="Y63" s="29">
        <f t="shared" si="13"/>
        <v>1</v>
      </c>
      <c r="Z63">
        <f t="shared" si="14"/>
        <v>0.94454241462383315</v>
      </c>
      <c r="AA63">
        <f t="shared" si="15"/>
        <v>3.2430828411252416E-2</v>
      </c>
      <c r="AB63">
        <f t="shared" si="16"/>
        <v>3.0632292975815569E-2</v>
      </c>
      <c r="AC63" s="42">
        <f t="shared" si="17"/>
        <v>0.26088586507940364</v>
      </c>
      <c r="AD63" s="42">
        <f t="shared" si="18"/>
        <v>0.71966064103050309</v>
      </c>
      <c r="AE63" s="29">
        <f t="shared" si="19"/>
        <v>1.1496815286624202</v>
      </c>
      <c r="AF63" s="38">
        <f t="shared" si="20"/>
        <v>228383.29929726265</v>
      </c>
      <c r="AG63" s="45">
        <f t="shared" si="21"/>
        <v>6.7120143701640219E-17</v>
      </c>
      <c r="AH63">
        <f t="shared" si="22"/>
        <v>8.2714380082612116E-2</v>
      </c>
      <c r="AI63" s="29">
        <f t="shared" si="23"/>
        <v>0.99999999999999944</v>
      </c>
      <c r="AJ63">
        <f t="shared" si="24"/>
        <v>0.70902518104751044</v>
      </c>
      <c r="AK63">
        <f t="shared" si="25"/>
        <v>3.3651471342227957E-2</v>
      </c>
      <c r="AL63">
        <f t="shared" si="26"/>
        <v>2.3859740560938272E-2</v>
      </c>
      <c r="AM63" s="42">
        <f t="shared" si="27"/>
        <v>5.8830549796253839</v>
      </c>
      <c r="AN63" s="42">
        <f t="shared" si="28"/>
        <v>0</v>
      </c>
      <c r="AO63" s="42">
        <f t="shared" si="29"/>
        <v>6.8636014857352912</v>
      </c>
    </row>
    <row r="64" spans="2:41" x14ac:dyDescent="0.25">
      <c r="B64" s="43"/>
      <c r="C64" t="s">
        <v>79</v>
      </c>
      <c r="D64" t="s">
        <v>48</v>
      </c>
      <c r="E64" s="47">
        <f t="shared" si="4"/>
        <v>3.8899999999999997E-2</v>
      </c>
      <c r="F64" s="50">
        <f t="shared" si="5"/>
        <v>140.04</v>
      </c>
      <c r="G64" s="49">
        <v>38.9</v>
      </c>
      <c r="H64" s="31">
        <v>8</v>
      </c>
      <c r="I64" s="29"/>
      <c r="K64" s="31">
        <v>23.8</v>
      </c>
      <c r="L64" s="32">
        <f t="shared" si="0"/>
        <v>0.14280000000000001</v>
      </c>
      <c r="M64" s="5">
        <f t="shared" si="6"/>
        <v>2.2024062278839347</v>
      </c>
      <c r="N64" s="32">
        <f t="shared" si="1"/>
        <v>0.83562716570143547</v>
      </c>
      <c r="O64" s="26">
        <v>6.5</v>
      </c>
      <c r="P64" s="32">
        <f t="shared" si="2"/>
        <v>4.758</v>
      </c>
      <c r="Q64" s="5">
        <f t="shared" si="7"/>
        <v>1.2388535031847132</v>
      </c>
      <c r="R64" s="32">
        <f t="shared" si="3"/>
        <v>0</v>
      </c>
      <c r="S64" s="32">
        <f t="shared" si="8"/>
        <v>5.7364271657014356</v>
      </c>
      <c r="U64" s="29">
        <f t="shared" si="9"/>
        <v>2.2024062278839347</v>
      </c>
      <c r="V64" s="38">
        <f t="shared" si="10"/>
        <v>328129.65254528227</v>
      </c>
      <c r="W64" s="45">
        <f t="shared" si="11"/>
        <v>3.1978002710449149E-18</v>
      </c>
      <c r="X64">
        <f t="shared" si="12"/>
        <v>1.1865897226894163E-2</v>
      </c>
      <c r="Y64" s="29">
        <f t="shared" si="13"/>
        <v>1</v>
      </c>
      <c r="Z64">
        <f t="shared" si="14"/>
        <v>0.95111245004256761</v>
      </c>
      <c r="AA64">
        <f t="shared" si="15"/>
        <v>3.2241490819915612E-2</v>
      </c>
      <c r="AB64">
        <f t="shared" si="16"/>
        <v>3.0665283326754889E-2</v>
      </c>
      <c r="AC64" s="42">
        <f t="shared" si="17"/>
        <v>0.30325140581973575</v>
      </c>
      <c r="AD64" s="42">
        <f t="shared" si="18"/>
        <v>0.83562716570143547</v>
      </c>
      <c r="AE64" s="29">
        <f t="shared" si="19"/>
        <v>1.2388535031847132</v>
      </c>
      <c r="AF64" s="38">
        <f t="shared" si="20"/>
        <v>246097.2394089617</v>
      </c>
      <c r="AG64" s="45">
        <f t="shared" si="21"/>
        <v>3.5837418846591109E-17</v>
      </c>
      <c r="AH64">
        <f t="shared" si="22"/>
        <v>7.3068120123668562E-2</v>
      </c>
      <c r="AI64" s="29">
        <f t="shared" si="23"/>
        <v>0.99999999999999967</v>
      </c>
      <c r="AJ64">
        <f t="shared" si="24"/>
        <v>0.73728332555114684</v>
      </c>
      <c r="AK64">
        <f t="shared" si="25"/>
        <v>3.2472363268429685E-2</v>
      </c>
      <c r="AL64">
        <f t="shared" si="26"/>
        <v>2.3941331979052738E-2</v>
      </c>
      <c r="AM64" s="42">
        <f t="shared" si="27"/>
        <v>6.8544134597931272</v>
      </c>
      <c r="AN64" s="42">
        <f t="shared" si="28"/>
        <v>0</v>
      </c>
      <c r="AO64" s="42">
        <f t="shared" si="29"/>
        <v>7.993292031314299</v>
      </c>
    </row>
    <row r="65" spans="2:41" x14ac:dyDescent="0.25">
      <c r="C65" t="s">
        <v>80</v>
      </c>
      <c r="D65" t="s">
        <v>48</v>
      </c>
      <c r="E65" s="47">
        <f t="shared" si="4"/>
        <v>0</v>
      </c>
      <c r="F65" s="51"/>
      <c r="G65" s="49"/>
      <c r="H65" s="31"/>
      <c r="K65" s="31"/>
      <c r="L65" s="32">
        <f t="shared" si="0"/>
        <v>0</v>
      </c>
      <c r="M65" s="5">
        <f t="shared" si="6"/>
        <v>0</v>
      </c>
      <c r="N65" s="32">
        <f t="shared" si="1"/>
        <v>0</v>
      </c>
      <c r="O65" s="26"/>
      <c r="P65" s="32">
        <f t="shared" si="2"/>
        <v>0</v>
      </c>
      <c r="Q65" s="5">
        <f t="shared" si="7"/>
        <v>0</v>
      </c>
      <c r="R65" s="32">
        <f t="shared" si="3"/>
        <v>0</v>
      </c>
      <c r="S65" s="32">
        <f t="shared" si="8"/>
        <v>0</v>
      </c>
      <c r="U65" s="29">
        <f t="shared" si="9"/>
        <v>0</v>
      </c>
      <c r="V65" s="38">
        <f t="shared" si="10"/>
        <v>0</v>
      </c>
      <c r="W65" s="45">
        <f t="shared" si="11"/>
        <v>1</v>
      </c>
      <c r="X65">
        <f t="shared" si="12"/>
        <v>1</v>
      </c>
      <c r="Y65" s="29" t="e">
        <f t="shared" si="13"/>
        <v>#DIV/0!</v>
      </c>
      <c r="Z65" t="e">
        <f t="shared" si="14"/>
        <v>#NUM!</v>
      </c>
      <c r="AA65">
        <f t="shared" si="15"/>
        <v>1</v>
      </c>
      <c r="AB65" t="e">
        <f t="shared" si="16"/>
        <v>#DIV/0!</v>
      </c>
      <c r="AC65" s="42" t="e">
        <f t="shared" si="17"/>
        <v>#DIV/0!</v>
      </c>
      <c r="AD65" s="42">
        <f t="shared" si="18"/>
        <v>0</v>
      </c>
      <c r="AE65" s="29">
        <f t="shared" si="19"/>
        <v>0</v>
      </c>
      <c r="AF65" s="38">
        <f t="shared" si="20"/>
        <v>0</v>
      </c>
      <c r="AG65" s="45">
        <f t="shared" si="21"/>
        <v>1</v>
      </c>
      <c r="AH65">
        <f t="shared" si="22"/>
        <v>1</v>
      </c>
      <c r="AI65" s="29" t="e">
        <f t="shared" si="23"/>
        <v>#DIV/0!</v>
      </c>
      <c r="AJ65" t="e">
        <f t="shared" si="24"/>
        <v>#NUM!</v>
      </c>
      <c r="AK65">
        <f t="shared" si="25"/>
        <v>1</v>
      </c>
      <c r="AL65" t="e">
        <f t="shared" si="26"/>
        <v>#DIV/0!</v>
      </c>
      <c r="AM65" s="42" t="e">
        <f t="shared" si="27"/>
        <v>#DIV/0!</v>
      </c>
      <c r="AN65" s="42">
        <f t="shared" si="28"/>
        <v>0</v>
      </c>
      <c r="AO65" s="42" t="e">
        <f t="shared" si="29"/>
        <v>#DIV/0!</v>
      </c>
    </row>
    <row r="66" spans="2:41" x14ac:dyDescent="0.25">
      <c r="C66" t="s">
        <v>81</v>
      </c>
      <c r="D66" t="s">
        <v>48</v>
      </c>
      <c r="E66" s="47">
        <f t="shared" si="4"/>
        <v>0</v>
      </c>
      <c r="F66" s="51"/>
      <c r="G66" s="49"/>
      <c r="H66" s="31"/>
      <c r="K66" s="31"/>
      <c r="L66" s="32">
        <f t="shared" si="0"/>
        <v>0</v>
      </c>
      <c r="M66" s="5">
        <f t="shared" si="6"/>
        <v>0</v>
      </c>
      <c r="N66" s="32">
        <f t="shared" si="1"/>
        <v>0</v>
      </c>
      <c r="O66" s="26"/>
      <c r="P66" s="32">
        <f t="shared" si="2"/>
        <v>0</v>
      </c>
      <c r="Q66" s="5">
        <f t="shared" si="7"/>
        <v>0</v>
      </c>
      <c r="R66" s="32">
        <f t="shared" si="3"/>
        <v>0</v>
      </c>
      <c r="S66" s="32">
        <f t="shared" si="8"/>
        <v>0</v>
      </c>
      <c r="U66" s="29">
        <f t="shared" si="9"/>
        <v>0</v>
      </c>
      <c r="V66" s="38">
        <f t="shared" si="10"/>
        <v>0</v>
      </c>
      <c r="W66" s="45">
        <f t="shared" si="11"/>
        <v>1</v>
      </c>
      <c r="X66">
        <f t="shared" si="12"/>
        <v>1</v>
      </c>
      <c r="Y66" s="29" t="e">
        <f t="shared" si="13"/>
        <v>#DIV/0!</v>
      </c>
      <c r="Z66" t="e">
        <f t="shared" si="14"/>
        <v>#NUM!</v>
      </c>
      <c r="AA66">
        <f t="shared" si="15"/>
        <v>1</v>
      </c>
      <c r="AB66" t="e">
        <f t="shared" si="16"/>
        <v>#DIV/0!</v>
      </c>
      <c r="AC66" s="42" t="e">
        <f t="shared" si="17"/>
        <v>#DIV/0!</v>
      </c>
      <c r="AD66" s="42">
        <f t="shared" si="18"/>
        <v>0</v>
      </c>
      <c r="AE66" s="29">
        <f t="shared" si="19"/>
        <v>0</v>
      </c>
      <c r="AF66" s="38">
        <f t="shared" si="20"/>
        <v>0</v>
      </c>
      <c r="AG66" s="45">
        <f t="shared" si="21"/>
        <v>1</v>
      </c>
      <c r="AH66">
        <f t="shared" si="22"/>
        <v>1</v>
      </c>
      <c r="AI66" s="29" t="e">
        <f t="shared" si="23"/>
        <v>#DIV/0!</v>
      </c>
      <c r="AJ66" t="e">
        <f t="shared" si="24"/>
        <v>#NUM!</v>
      </c>
      <c r="AK66">
        <f t="shared" si="25"/>
        <v>1</v>
      </c>
      <c r="AL66" t="e">
        <f t="shared" si="26"/>
        <v>#DIV/0!</v>
      </c>
      <c r="AM66" s="42" t="e">
        <f t="shared" si="27"/>
        <v>#DIV/0!</v>
      </c>
      <c r="AN66" s="42">
        <f t="shared" si="28"/>
        <v>0</v>
      </c>
      <c r="AO66" s="42" t="e">
        <f t="shared" si="29"/>
        <v>#DIV/0!</v>
      </c>
    </row>
    <row r="67" spans="2:41" x14ac:dyDescent="0.25">
      <c r="C67" t="s">
        <v>82</v>
      </c>
      <c r="D67" t="s">
        <v>48</v>
      </c>
      <c r="E67" s="47">
        <f t="shared" si="4"/>
        <v>0</v>
      </c>
      <c r="F67" s="51"/>
      <c r="G67" s="49"/>
      <c r="H67" s="31"/>
      <c r="K67" s="31"/>
      <c r="L67" s="32">
        <f t="shared" si="0"/>
        <v>0</v>
      </c>
      <c r="M67" s="5">
        <f t="shared" si="6"/>
        <v>0</v>
      </c>
      <c r="N67" s="32">
        <f t="shared" si="1"/>
        <v>0</v>
      </c>
      <c r="O67" s="26"/>
      <c r="P67" s="32">
        <f t="shared" si="2"/>
        <v>0</v>
      </c>
      <c r="Q67" s="5">
        <f t="shared" si="7"/>
        <v>0</v>
      </c>
      <c r="R67" s="32">
        <f t="shared" si="3"/>
        <v>0</v>
      </c>
      <c r="S67" s="32">
        <f t="shared" si="8"/>
        <v>0</v>
      </c>
      <c r="U67" s="29">
        <f t="shared" si="9"/>
        <v>0</v>
      </c>
      <c r="V67" s="38">
        <f t="shared" si="10"/>
        <v>0</v>
      </c>
      <c r="W67" s="45">
        <f t="shared" si="11"/>
        <v>1</v>
      </c>
      <c r="X67">
        <f t="shared" si="12"/>
        <v>1</v>
      </c>
      <c r="Y67" s="29" t="e">
        <f t="shared" si="13"/>
        <v>#DIV/0!</v>
      </c>
      <c r="Z67" t="e">
        <f t="shared" si="14"/>
        <v>#NUM!</v>
      </c>
      <c r="AA67">
        <f t="shared" si="15"/>
        <v>1</v>
      </c>
      <c r="AB67" t="e">
        <f t="shared" si="16"/>
        <v>#DIV/0!</v>
      </c>
      <c r="AC67" s="42" t="e">
        <f t="shared" si="17"/>
        <v>#DIV/0!</v>
      </c>
      <c r="AD67" s="42">
        <f t="shared" si="18"/>
        <v>0</v>
      </c>
      <c r="AE67" s="29">
        <f t="shared" si="19"/>
        <v>0</v>
      </c>
      <c r="AF67" s="38">
        <f t="shared" si="20"/>
        <v>0</v>
      </c>
      <c r="AG67" s="45">
        <f t="shared" si="21"/>
        <v>1</v>
      </c>
      <c r="AH67">
        <f t="shared" si="22"/>
        <v>1</v>
      </c>
      <c r="AI67" s="29" t="e">
        <f t="shared" si="23"/>
        <v>#DIV/0!</v>
      </c>
      <c r="AJ67" t="e">
        <f t="shared" si="24"/>
        <v>#NUM!</v>
      </c>
      <c r="AK67">
        <f t="shared" si="25"/>
        <v>1</v>
      </c>
      <c r="AL67" t="e">
        <f t="shared" si="26"/>
        <v>#DIV/0!</v>
      </c>
      <c r="AM67" s="42" t="e">
        <f t="shared" si="27"/>
        <v>#DIV/0!</v>
      </c>
      <c r="AN67" s="42">
        <f t="shared" si="28"/>
        <v>0</v>
      </c>
      <c r="AO67" s="42" t="e">
        <f t="shared" si="29"/>
        <v>#DIV/0!</v>
      </c>
    </row>
    <row r="68" spans="2:41" x14ac:dyDescent="0.25">
      <c r="C68" t="s">
        <v>83</v>
      </c>
      <c r="D68" t="s">
        <v>48</v>
      </c>
      <c r="E68" s="47">
        <f t="shared" si="4"/>
        <v>0</v>
      </c>
      <c r="F68" s="51"/>
      <c r="G68" s="49"/>
      <c r="H68" s="31"/>
      <c r="K68" s="31"/>
      <c r="L68" s="32">
        <f t="shared" si="0"/>
        <v>0</v>
      </c>
      <c r="M68" s="5">
        <f t="shared" si="6"/>
        <v>0</v>
      </c>
      <c r="N68" s="32">
        <f t="shared" si="1"/>
        <v>0</v>
      </c>
      <c r="O68" s="26"/>
      <c r="P68" s="32">
        <f t="shared" si="2"/>
        <v>0</v>
      </c>
      <c r="Q68" s="5">
        <f t="shared" si="7"/>
        <v>0</v>
      </c>
      <c r="R68" s="32">
        <f t="shared" si="3"/>
        <v>0</v>
      </c>
      <c r="S68" s="32">
        <f t="shared" si="8"/>
        <v>0</v>
      </c>
      <c r="U68" s="29">
        <f t="shared" si="9"/>
        <v>0</v>
      </c>
      <c r="V68" s="38">
        <f t="shared" si="10"/>
        <v>0</v>
      </c>
      <c r="W68" s="45">
        <f t="shared" si="11"/>
        <v>1</v>
      </c>
      <c r="X68">
        <f t="shared" si="12"/>
        <v>1</v>
      </c>
      <c r="Y68" s="29" t="e">
        <f t="shared" si="13"/>
        <v>#DIV/0!</v>
      </c>
      <c r="Z68" t="e">
        <f t="shared" si="14"/>
        <v>#NUM!</v>
      </c>
      <c r="AA68">
        <f t="shared" si="15"/>
        <v>1</v>
      </c>
      <c r="AB68" t="e">
        <f t="shared" si="16"/>
        <v>#DIV/0!</v>
      </c>
      <c r="AC68" s="42" t="e">
        <f t="shared" si="17"/>
        <v>#DIV/0!</v>
      </c>
      <c r="AD68" s="42">
        <f t="shared" si="18"/>
        <v>0</v>
      </c>
      <c r="AE68" s="29">
        <f t="shared" si="19"/>
        <v>0</v>
      </c>
      <c r="AF68" s="38">
        <f t="shared" si="20"/>
        <v>0</v>
      </c>
      <c r="AG68" s="45">
        <f t="shared" si="21"/>
        <v>1</v>
      </c>
      <c r="AH68">
        <f t="shared" si="22"/>
        <v>1</v>
      </c>
      <c r="AI68" s="29" t="e">
        <f t="shared" si="23"/>
        <v>#DIV/0!</v>
      </c>
      <c r="AJ68" t="e">
        <f t="shared" si="24"/>
        <v>#NUM!</v>
      </c>
      <c r="AK68">
        <f t="shared" si="25"/>
        <v>1</v>
      </c>
      <c r="AL68" t="e">
        <f t="shared" si="26"/>
        <v>#DIV/0!</v>
      </c>
      <c r="AM68" s="42" t="e">
        <f t="shared" si="27"/>
        <v>#DIV/0!</v>
      </c>
      <c r="AN68" s="42">
        <f t="shared" si="28"/>
        <v>0</v>
      </c>
      <c r="AO68" s="42" t="e">
        <f t="shared" si="29"/>
        <v>#DIV/0!</v>
      </c>
    </row>
    <row r="69" spans="2:41" x14ac:dyDescent="0.25">
      <c r="C69" t="s">
        <v>84</v>
      </c>
      <c r="D69" t="s">
        <v>48</v>
      </c>
      <c r="E69" s="47">
        <f t="shared" si="4"/>
        <v>0</v>
      </c>
      <c r="F69" s="51"/>
      <c r="G69" s="49"/>
      <c r="H69" s="31"/>
      <c r="K69" s="31"/>
      <c r="L69" s="32">
        <f t="shared" si="0"/>
        <v>0</v>
      </c>
      <c r="M69" s="5">
        <f t="shared" si="6"/>
        <v>0</v>
      </c>
      <c r="N69" s="32">
        <f t="shared" si="1"/>
        <v>0</v>
      </c>
      <c r="O69" s="26"/>
      <c r="P69" s="32">
        <f t="shared" si="2"/>
        <v>0</v>
      </c>
      <c r="Q69" s="5">
        <f t="shared" si="7"/>
        <v>0</v>
      </c>
      <c r="R69" s="32">
        <f t="shared" si="3"/>
        <v>0</v>
      </c>
      <c r="S69" s="32">
        <f t="shared" si="8"/>
        <v>0</v>
      </c>
      <c r="U69" s="29">
        <f t="shared" si="9"/>
        <v>0</v>
      </c>
      <c r="V69" s="38">
        <f t="shared" si="10"/>
        <v>0</v>
      </c>
      <c r="W69" s="45">
        <f t="shared" si="11"/>
        <v>1</v>
      </c>
      <c r="X69">
        <f t="shared" si="12"/>
        <v>1</v>
      </c>
      <c r="Y69" s="29" t="e">
        <f t="shared" si="13"/>
        <v>#DIV/0!</v>
      </c>
      <c r="Z69" t="e">
        <f t="shared" si="14"/>
        <v>#NUM!</v>
      </c>
      <c r="AA69">
        <f t="shared" si="15"/>
        <v>1</v>
      </c>
      <c r="AB69" t="e">
        <f t="shared" si="16"/>
        <v>#DIV/0!</v>
      </c>
      <c r="AC69" s="42" t="e">
        <f t="shared" si="17"/>
        <v>#DIV/0!</v>
      </c>
      <c r="AD69" s="42">
        <f t="shared" si="18"/>
        <v>0</v>
      </c>
      <c r="AE69" s="29">
        <f t="shared" si="19"/>
        <v>0</v>
      </c>
      <c r="AF69" s="38">
        <f t="shared" si="20"/>
        <v>0</v>
      </c>
      <c r="AG69" s="45">
        <f t="shared" si="21"/>
        <v>1</v>
      </c>
      <c r="AH69">
        <f t="shared" si="22"/>
        <v>1</v>
      </c>
      <c r="AI69" s="29" t="e">
        <f t="shared" si="23"/>
        <v>#DIV/0!</v>
      </c>
      <c r="AJ69" t="e">
        <f t="shared" si="24"/>
        <v>#NUM!</v>
      </c>
      <c r="AK69">
        <f t="shared" si="25"/>
        <v>1</v>
      </c>
      <c r="AL69" t="e">
        <f t="shared" si="26"/>
        <v>#DIV/0!</v>
      </c>
      <c r="AM69" s="42" t="e">
        <f t="shared" si="27"/>
        <v>#DIV/0!</v>
      </c>
      <c r="AN69" s="42">
        <f t="shared" si="28"/>
        <v>0</v>
      </c>
      <c r="AO69" s="42" t="e">
        <f t="shared" si="29"/>
        <v>#DIV/0!</v>
      </c>
    </row>
    <row r="70" spans="2:41" x14ac:dyDescent="0.25">
      <c r="C70" t="s">
        <v>85</v>
      </c>
      <c r="D70" t="s">
        <v>48</v>
      </c>
      <c r="E70" s="47">
        <f t="shared" si="4"/>
        <v>0</v>
      </c>
      <c r="F70" s="51"/>
      <c r="G70" s="49"/>
      <c r="H70" s="31"/>
      <c r="K70" s="31"/>
      <c r="L70" s="32">
        <f t="shared" si="0"/>
        <v>0</v>
      </c>
      <c r="M70" s="5">
        <f t="shared" si="6"/>
        <v>0</v>
      </c>
      <c r="N70" s="32">
        <f t="shared" si="1"/>
        <v>0</v>
      </c>
      <c r="O70" s="26"/>
      <c r="P70" s="32">
        <f t="shared" si="2"/>
        <v>0</v>
      </c>
      <c r="Q70" s="5">
        <f t="shared" si="7"/>
        <v>0</v>
      </c>
      <c r="R70" s="32">
        <f t="shared" si="3"/>
        <v>0</v>
      </c>
      <c r="S70" s="32">
        <f t="shared" si="8"/>
        <v>0</v>
      </c>
      <c r="U70" s="29">
        <f t="shared" si="9"/>
        <v>0</v>
      </c>
      <c r="V70" s="38">
        <f t="shared" si="10"/>
        <v>0</v>
      </c>
      <c r="W70" s="45">
        <f t="shared" si="11"/>
        <v>1</v>
      </c>
      <c r="X70">
        <f t="shared" si="12"/>
        <v>1</v>
      </c>
      <c r="Y70" s="29" t="e">
        <f t="shared" si="13"/>
        <v>#DIV/0!</v>
      </c>
      <c r="Z70" t="e">
        <f t="shared" si="14"/>
        <v>#NUM!</v>
      </c>
      <c r="AA70">
        <f t="shared" si="15"/>
        <v>1</v>
      </c>
      <c r="AB70" t="e">
        <f t="shared" si="16"/>
        <v>#DIV/0!</v>
      </c>
      <c r="AC70" s="42" t="e">
        <f t="shared" si="17"/>
        <v>#DIV/0!</v>
      </c>
      <c r="AD70" s="42">
        <f t="shared" si="18"/>
        <v>0</v>
      </c>
      <c r="AE70" s="29">
        <f t="shared" si="19"/>
        <v>0</v>
      </c>
      <c r="AF70" s="38">
        <f t="shared" si="20"/>
        <v>0</v>
      </c>
      <c r="AG70" s="45">
        <f t="shared" si="21"/>
        <v>1</v>
      </c>
      <c r="AH70">
        <f t="shared" si="22"/>
        <v>1</v>
      </c>
      <c r="AI70" s="29" t="e">
        <f t="shared" si="23"/>
        <v>#DIV/0!</v>
      </c>
      <c r="AJ70" t="e">
        <f t="shared" si="24"/>
        <v>#NUM!</v>
      </c>
      <c r="AK70">
        <f t="shared" si="25"/>
        <v>1</v>
      </c>
      <c r="AL70" t="e">
        <f t="shared" si="26"/>
        <v>#DIV/0!</v>
      </c>
      <c r="AM70" s="42" t="e">
        <f t="shared" si="27"/>
        <v>#DIV/0!</v>
      </c>
      <c r="AN70" s="42">
        <f t="shared" si="28"/>
        <v>0</v>
      </c>
      <c r="AO70" s="42" t="e">
        <f t="shared" si="29"/>
        <v>#DIV/0!</v>
      </c>
    </row>
    <row r="71" spans="2:41" x14ac:dyDescent="0.25">
      <c r="B71" t="s">
        <v>104</v>
      </c>
      <c r="E71" s="33">
        <f>INDEX(LINEST($H$56:$H$64, $E$56:$E$64^TRANSPOSE({1;2;3})),1)</f>
        <v>-42948.469947441976</v>
      </c>
      <c r="F71" s="33">
        <f>INDEX(LINEST($H$56:$H$64, $E$56:$E$64^TRANSPOSE({1;2;3})),1,2)</f>
        <v>1130.846467134116</v>
      </c>
      <c r="G71" s="33">
        <f>INDEX(LINEST($H$56:$H$64, $E$56:$E$64^TRANSPOSE({1;2;3})),1,3)</f>
        <v>-228.85869156523617</v>
      </c>
      <c r="H71" s="33">
        <f>INDEX(LINEST($H$56:$H$64, $E$56:$E$64^TRANSPOSE({1;2;3})),1,4)</f>
        <v>17.753367803819643</v>
      </c>
      <c r="I71" t="s">
        <v>105</v>
      </c>
      <c r="K71" s="33">
        <f>INDEX(LINEST($S$56:$S$64, $E$56:$E$64^TRANSPOSE({1;2;3})),1)</f>
        <v>-39397.565675917707</v>
      </c>
      <c r="L71" s="33">
        <f>INDEX(LINEST($S$56:$S$64, $E$56:$E$64^TRANSPOSE({1;2;3})),1,2)</f>
        <v>3925.863804708446</v>
      </c>
      <c r="M71" s="33">
        <f>INDEX(LINEST($S$56:$S$64, $E$56:$E$64^TRANSPOSE({1;2;3})),1,3)</f>
        <v>101.60288433175633</v>
      </c>
      <c r="N71" s="33">
        <f>INDEX(LINEST($S$56:$S$64, $E$56:$E$64^TRANSPOSE({1;2;3})),1,4)</f>
        <v>-1.834516218880792</v>
      </c>
      <c r="U71" s="33">
        <f>INDEX(LINEST($AO$56:$AO$64, $E$56:$E$64^TRANSPOSE({1;2})),1)</f>
        <v>5528.7709400086833</v>
      </c>
      <c r="V71" s="33">
        <f>INDEX(LINEST($AO$56:$AO$64, $E$56:$E$64^TRANSPOSE({1;2})),1,2)</f>
        <v>-10.966124505041082</v>
      </c>
      <c r="W71" s="33">
        <f>INDEX(LINEST($AO$56:$AO$64, $E$56:$E$64^TRANSPOSE({1;2})),1,3)</f>
        <v>5.4119649081583177E-2</v>
      </c>
      <c r="X71" s="33"/>
      <c r="Y71" s="33">
        <f>INDEX(LINEST($AO$56:$AO$64, $E$56:$E$64^TRANSPOSE({1;2})),1)</f>
        <v>5528.7709400086833</v>
      </c>
      <c r="Z71" s="33">
        <f>INDEX(LINEST($AO$56:$AO$64, $E$56:$E$64^TRANSPOSE({1;2})),1,2)</f>
        <v>-10.966124505041082</v>
      </c>
      <c r="AA71" s="33">
        <f>INDEX(LINEST($AO$56:$AO$64, $E$56:$E$64^TRANSPOSE({1;2})),1,3)</f>
        <v>5.4119649081583177E-2</v>
      </c>
    </row>
    <row r="72" spans="2:41" x14ac:dyDescent="0.25">
      <c r="E72" s="7" t="s">
        <v>155</v>
      </c>
      <c r="F72" t="s">
        <v>152</v>
      </c>
      <c r="G72" t="s">
        <v>154</v>
      </c>
      <c r="H72" t="s">
        <v>153</v>
      </c>
      <c r="K72" t="s">
        <v>155</v>
      </c>
      <c r="L72" t="s">
        <v>152</v>
      </c>
      <c r="M72" t="s">
        <v>154</v>
      </c>
      <c r="N72" t="s">
        <v>153</v>
      </c>
      <c r="U72" t="s">
        <v>152</v>
      </c>
      <c r="V72" t="s">
        <v>154</v>
      </c>
      <c r="W72" t="s">
        <v>153</v>
      </c>
    </row>
    <row r="73" spans="2:41" ht="33.75" x14ac:dyDescent="0.5">
      <c r="B73" s="1" t="s">
        <v>86</v>
      </c>
      <c r="K73">
        <v>11</v>
      </c>
      <c r="L73">
        <v>12</v>
      </c>
      <c r="M73">
        <v>13</v>
      </c>
      <c r="N73">
        <v>14</v>
      </c>
      <c r="O73">
        <v>15</v>
      </c>
      <c r="P73">
        <v>16</v>
      </c>
      <c r="Q73">
        <v>17</v>
      </c>
      <c r="R73">
        <v>18</v>
      </c>
      <c r="S73">
        <v>19</v>
      </c>
      <c r="T73">
        <v>20</v>
      </c>
      <c r="U73">
        <v>21</v>
      </c>
      <c r="V73">
        <v>22</v>
      </c>
      <c r="W73">
        <v>23</v>
      </c>
      <c r="X73">
        <v>24</v>
      </c>
      <c r="Y73">
        <v>25</v>
      </c>
    </row>
    <row r="74" spans="2:41" x14ac:dyDescent="0.25">
      <c r="B74" t="s">
        <v>88</v>
      </c>
      <c r="C74" s="2" t="s">
        <v>89</v>
      </c>
      <c r="D74" t="s">
        <v>23</v>
      </c>
      <c r="E74" s="6">
        <f>3.14*(POWER(2.5/2, 2))</f>
        <v>4.90625</v>
      </c>
      <c r="F74" t="s">
        <v>90</v>
      </c>
      <c r="I74" s="53" t="s">
        <v>100</v>
      </c>
      <c r="J74" t="s">
        <v>101</v>
      </c>
      <c r="K74" s="5">
        <f>E79+E78</f>
        <v>139.03906581740978</v>
      </c>
      <c r="L74" s="5">
        <f>K74+$E$80</f>
        <v>139.13906581740977</v>
      </c>
      <c r="M74" s="5">
        <f>L74+$E$80</f>
        <v>139.23906581740977</v>
      </c>
      <c r="N74" s="5">
        <f t="shared" ref="N74:R74" si="30">M74+$E$80</f>
        <v>139.33906581740976</v>
      </c>
      <c r="O74" s="5">
        <f t="shared" si="30"/>
        <v>139.43906581740976</v>
      </c>
      <c r="P74" s="5">
        <f t="shared" si="30"/>
        <v>139.53906581740975</v>
      </c>
      <c r="Q74" s="5">
        <f t="shared" si="30"/>
        <v>139.63906581740974</v>
      </c>
      <c r="R74" s="5">
        <f t="shared" si="30"/>
        <v>139.73906581740974</v>
      </c>
      <c r="S74" s="5">
        <f>R74+$E$80</f>
        <v>139.83906581740973</v>
      </c>
      <c r="T74" s="5">
        <f t="shared" ref="T74:U74" si="31">S74+$E$80</f>
        <v>139.93906581740973</v>
      </c>
      <c r="U74" s="5">
        <f t="shared" si="31"/>
        <v>140.03906581740972</v>
      </c>
      <c r="V74" s="5">
        <f t="shared" ref="V74:Y74" si="32">U74+$E$80</f>
        <v>140.13906581740972</v>
      </c>
      <c r="W74" s="5">
        <f t="shared" si="32"/>
        <v>140.23906581740971</v>
      </c>
      <c r="X74" s="5">
        <f t="shared" si="32"/>
        <v>140.3390658174097</v>
      </c>
      <c r="Y74" s="5">
        <f t="shared" si="32"/>
        <v>140.4390658174097</v>
      </c>
    </row>
    <row r="75" spans="2:41" x14ac:dyDescent="0.25">
      <c r="B75" t="s">
        <v>87</v>
      </c>
      <c r="C75" s="2" t="s">
        <v>91</v>
      </c>
      <c r="D75" t="s">
        <v>23</v>
      </c>
      <c r="E75" s="9">
        <f>(G22/1000)*G15/4</f>
        <v>3.7333333333333334</v>
      </c>
      <c r="F75" t="s">
        <v>92</v>
      </c>
      <c r="I75" s="53"/>
      <c r="J75" t="s">
        <v>103</v>
      </c>
      <c r="K75" s="5">
        <f>$E$14-K74</f>
        <v>9.0809341825902266</v>
      </c>
      <c r="L75" s="5">
        <f>$E$14-L74</f>
        <v>8.9809341825902322</v>
      </c>
      <c r="M75" s="5">
        <f>$E$14-M74</f>
        <v>8.8809341825902379</v>
      </c>
      <c r="N75" s="5">
        <f t="shared" ref="N75:R75" si="33">$E$14-N74</f>
        <v>8.7809341825902436</v>
      </c>
      <c r="O75" s="5">
        <f t="shared" si="33"/>
        <v>8.6809341825902493</v>
      </c>
      <c r="P75" s="5">
        <f t="shared" si="33"/>
        <v>8.580934182590255</v>
      </c>
      <c r="Q75" s="5">
        <f t="shared" si="33"/>
        <v>8.4809341825902607</v>
      </c>
      <c r="R75" s="5">
        <f t="shared" si="33"/>
        <v>8.3809341825902663</v>
      </c>
      <c r="S75" s="5">
        <f>$E$14-S74</f>
        <v>8.280934182590272</v>
      </c>
      <c r="T75" s="5">
        <f t="shared" ref="T75" si="34">$E$14-T74</f>
        <v>8.1809341825902777</v>
      </c>
      <c r="U75" s="5">
        <f t="shared" ref="U75" si="35">$E$14-U74</f>
        <v>8.0809341825902834</v>
      </c>
      <c r="V75" s="5">
        <f t="shared" ref="V75" si="36">$E$14-V74</f>
        <v>7.9809341825902891</v>
      </c>
      <c r="W75" s="5">
        <f t="shared" ref="W75:X75" si="37">$E$14-W74</f>
        <v>7.8809341825902948</v>
      </c>
      <c r="X75" s="5">
        <f t="shared" si="37"/>
        <v>7.7809341825903005</v>
      </c>
      <c r="Y75" s="5">
        <f t="shared" ref="Y75" si="38">$E$14-Y74</f>
        <v>7.6809341825903061</v>
      </c>
    </row>
    <row r="76" spans="2:41" x14ac:dyDescent="0.25">
      <c r="B76" t="s">
        <v>93</v>
      </c>
      <c r="C76" s="2" t="s">
        <v>94</v>
      </c>
      <c r="D76" t="s">
        <v>23</v>
      </c>
      <c r="E76" s="9">
        <f>E75/E74</f>
        <v>0.7609341825902336</v>
      </c>
      <c r="F76" t="s">
        <v>19</v>
      </c>
      <c r="J76" t="s">
        <v>112</v>
      </c>
      <c r="K76" s="5">
        <f t="shared" ref="K76:Y76" si="39">K75+$W$71</f>
        <v>9.1350538316718097</v>
      </c>
      <c r="L76" s="5">
        <f t="shared" si="39"/>
        <v>9.0350538316718154</v>
      </c>
      <c r="M76" s="5">
        <f t="shared" si="39"/>
        <v>8.9350538316718211</v>
      </c>
      <c r="N76" s="5">
        <f t="shared" si="39"/>
        <v>8.8350538316718268</v>
      </c>
      <c r="O76" s="5">
        <f t="shared" si="39"/>
        <v>8.7350538316718325</v>
      </c>
      <c r="P76" s="5">
        <f t="shared" si="39"/>
        <v>8.6350538316718382</v>
      </c>
      <c r="Q76" s="5">
        <f t="shared" si="39"/>
        <v>8.5350538316718438</v>
      </c>
      <c r="R76" s="5">
        <f t="shared" si="39"/>
        <v>8.4350538316718495</v>
      </c>
      <c r="S76" s="5">
        <f t="shared" si="39"/>
        <v>8.3350538316718552</v>
      </c>
      <c r="T76" s="5">
        <f t="shared" si="39"/>
        <v>8.2350538316718609</v>
      </c>
      <c r="U76" s="5">
        <f t="shared" si="39"/>
        <v>8.1350538316718666</v>
      </c>
      <c r="V76" s="5">
        <f t="shared" si="39"/>
        <v>8.0350538316718723</v>
      </c>
      <c r="W76" s="5">
        <f t="shared" si="39"/>
        <v>7.9350538316718779</v>
      </c>
      <c r="X76" s="5">
        <f t="shared" si="39"/>
        <v>7.8350538316718836</v>
      </c>
      <c r="Y76" s="5">
        <f t="shared" si="39"/>
        <v>7.7350538316718893</v>
      </c>
    </row>
    <row r="77" spans="2:41" x14ac:dyDescent="0.25">
      <c r="B77" t="s">
        <v>95</v>
      </c>
      <c r="C77" s="2" t="s">
        <v>65</v>
      </c>
      <c r="D77" t="s">
        <v>23</v>
      </c>
      <c r="E77" s="9">
        <f>E25-E76</f>
        <v>139.03906581740978</v>
      </c>
      <c r="F77" t="s">
        <v>4</v>
      </c>
      <c r="J77" t="s">
        <v>113</v>
      </c>
      <c r="K77" s="32">
        <f>$E$71</f>
        <v>-42948.469947441976</v>
      </c>
      <c r="L77" s="32">
        <f t="shared" ref="L77:Y77" si="40">$E$71</f>
        <v>-42948.469947441976</v>
      </c>
      <c r="M77" s="32">
        <f t="shared" si="40"/>
        <v>-42948.469947441976</v>
      </c>
      <c r="N77" s="32">
        <f t="shared" si="40"/>
        <v>-42948.469947441976</v>
      </c>
      <c r="O77" s="32">
        <f t="shared" si="40"/>
        <v>-42948.469947441976</v>
      </c>
      <c r="P77" s="32">
        <f t="shared" si="40"/>
        <v>-42948.469947441976</v>
      </c>
      <c r="Q77" s="32">
        <f t="shared" si="40"/>
        <v>-42948.469947441976</v>
      </c>
      <c r="R77" s="32">
        <f t="shared" si="40"/>
        <v>-42948.469947441976</v>
      </c>
      <c r="S77" s="32">
        <f t="shared" si="40"/>
        <v>-42948.469947441976</v>
      </c>
      <c r="T77" s="32">
        <f t="shared" si="40"/>
        <v>-42948.469947441976</v>
      </c>
      <c r="U77" s="32">
        <f t="shared" si="40"/>
        <v>-42948.469947441976</v>
      </c>
      <c r="V77" s="32">
        <f t="shared" si="40"/>
        <v>-42948.469947441976</v>
      </c>
      <c r="W77" s="32">
        <f t="shared" si="40"/>
        <v>-42948.469947441976</v>
      </c>
      <c r="X77" s="32">
        <f t="shared" si="40"/>
        <v>-42948.469947441976</v>
      </c>
      <c r="Y77" s="32">
        <f t="shared" si="40"/>
        <v>-42948.469947441976</v>
      </c>
    </row>
    <row r="78" spans="2:41" x14ac:dyDescent="0.25">
      <c r="B78" t="s">
        <v>96</v>
      </c>
      <c r="C78" s="2" t="s">
        <v>97</v>
      </c>
      <c r="D78" t="s">
        <v>23</v>
      </c>
      <c r="E78" s="27">
        <v>0.3</v>
      </c>
      <c r="F78" t="s">
        <v>19</v>
      </c>
      <c r="J78" t="s">
        <v>114</v>
      </c>
      <c r="K78" s="32">
        <f t="shared" ref="K78:Y78" si="41">$F$71-$U$71</f>
        <v>-4397.9244728745671</v>
      </c>
      <c r="L78" s="32">
        <f t="shared" si="41"/>
        <v>-4397.9244728745671</v>
      </c>
      <c r="M78" s="32">
        <f t="shared" si="41"/>
        <v>-4397.9244728745671</v>
      </c>
      <c r="N78" s="32">
        <f t="shared" si="41"/>
        <v>-4397.9244728745671</v>
      </c>
      <c r="O78" s="32">
        <f t="shared" si="41"/>
        <v>-4397.9244728745671</v>
      </c>
      <c r="P78" s="32">
        <f t="shared" si="41"/>
        <v>-4397.9244728745671</v>
      </c>
      <c r="Q78" s="32">
        <f t="shared" si="41"/>
        <v>-4397.9244728745671</v>
      </c>
      <c r="R78" s="32">
        <f t="shared" si="41"/>
        <v>-4397.9244728745671</v>
      </c>
      <c r="S78" s="32">
        <f t="shared" si="41"/>
        <v>-4397.9244728745671</v>
      </c>
      <c r="T78" s="32">
        <f t="shared" si="41"/>
        <v>-4397.9244728745671</v>
      </c>
      <c r="U78" s="32">
        <f t="shared" si="41"/>
        <v>-4397.9244728745671</v>
      </c>
      <c r="V78" s="32">
        <f t="shared" si="41"/>
        <v>-4397.9244728745671</v>
      </c>
      <c r="W78" s="32">
        <f t="shared" si="41"/>
        <v>-4397.9244728745671</v>
      </c>
      <c r="X78" s="32">
        <f t="shared" si="41"/>
        <v>-4397.9244728745671</v>
      </c>
      <c r="Y78" s="32">
        <f t="shared" si="41"/>
        <v>-4397.9244728745671</v>
      </c>
    </row>
    <row r="79" spans="2:41" x14ac:dyDescent="0.25">
      <c r="B79" t="s">
        <v>98</v>
      </c>
      <c r="C79" s="2" t="s">
        <v>65</v>
      </c>
      <c r="D79" t="s">
        <v>23</v>
      </c>
      <c r="E79" s="9">
        <f>E77-E78</f>
        <v>138.73906581740977</v>
      </c>
      <c r="F79" t="s">
        <v>4</v>
      </c>
      <c r="J79" t="s">
        <v>115</v>
      </c>
      <c r="K79" s="32">
        <f t="shared" ref="K79:Y79" si="42">$G$71-$V$71</f>
        <v>-217.89256706019509</v>
      </c>
      <c r="L79" s="32">
        <f t="shared" si="42"/>
        <v>-217.89256706019509</v>
      </c>
      <c r="M79" s="32">
        <f t="shared" si="42"/>
        <v>-217.89256706019509</v>
      </c>
      <c r="N79" s="32">
        <f t="shared" si="42"/>
        <v>-217.89256706019509</v>
      </c>
      <c r="O79" s="32">
        <f t="shared" si="42"/>
        <v>-217.89256706019509</v>
      </c>
      <c r="P79" s="32">
        <f t="shared" si="42"/>
        <v>-217.89256706019509</v>
      </c>
      <c r="Q79" s="32">
        <f t="shared" si="42"/>
        <v>-217.89256706019509</v>
      </c>
      <c r="R79" s="32">
        <f t="shared" si="42"/>
        <v>-217.89256706019509</v>
      </c>
      <c r="S79" s="32">
        <f t="shared" si="42"/>
        <v>-217.89256706019509</v>
      </c>
      <c r="T79" s="32">
        <f t="shared" si="42"/>
        <v>-217.89256706019509</v>
      </c>
      <c r="U79" s="32">
        <f t="shared" si="42"/>
        <v>-217.89256706019509</v>
      </c>
      <c r="V79" s="32">
        <f t="shared" si="42"/>
        <v>-217.89256706019509</v>
      </c>
      <c r="W79" s="32">
        <f t="shared" si="42"/>
        <v>-217.89256706019509</v>
      </c>
      <c r="X79" s="32">
        <f t="shared" si="42"/>
        <v>-217.89256706019509</v>
      </c>
      <c r="Y79" s="32">
        <f t="shared" si="42"/>
        <v>-217.89256706019509</v>
      </c>
    </row>
    <row r="80" spans="2:41" x14ac:dyDescent="0.25">
      <c r="B80" s="4" t="s">
        <v>102</v>
      </c>
      <c r="C80" s="30" t="s">
        <v>54</v>
      </c>
      <c r="D80" t="s">
        <v>23</v>
      </c>
      <c r="E80" s="27">
        <v>0.1</v>
      </c>
      <c r="F80" t="s">
        <v>19</v>
      </c>
      <c r="J80" t="s">
        <v>116</v>
      </c>
      <c r="K80" s="32">
        <f>$H$71-K76</f>
        <v>8.618313972147833</v>
      </c>
      <c r="L80" s="32">
        <f>$H$71-L76</f>
        <v>8.7183139721478273</v>
      </c>
      <c r="M80" s="32">
        <f>$H$71-M76</f>
        <v>8.8183139721478216</v>
      </c>
      <c r="N80" s="32">
        <f t="shared" ref="N80:R80" si="43">$H$71-N76</f>
        <v>8.918313972147816</v>
      </c>
      <c r="O80" s="32">
        <f t="shared" si="43"/>
        <v>9.0183139721478103</v>
      </c>
      <c r="P80" s="32">
        <f t="shared" si="43"/>
        <v>9.1183139721478046</v>
      </c>
      <c r="Q80" s="32">
        <f t="shared" si="43"/>
        <v>9.2183139721477989</v>
      </c>
      <c r="R80" s="32">
        <f t="shared" si="43"/>
        <v>9.3183139721477932</v>
      </c>
      <c r="S80" s="32">
        <f>$H$71-S76</f>
        <v>9.4183139721477875</v>
      </c>
      <c r="T80" s="32">
        <f t="shared" ref="T80:U80" si="44">$H$71-T76</f>
        <v>9.5183139721477819</v>
      </c>
      <c r="U80" s="32">
        <f t="shared" si="44"/>
        <v>9.6183139721477762</v>
      </c>
      <c r="V80" s="32">
        <f t="shared" ref="V80:X80" si="45">$H$71-V76</f>
        <v>9.7183139721477705</v>
      </c>
      <c r="W80" s="32">
        <f t="shared" si="45"/>
        <v>9.8183139721477648</v>
      </c>
      <c r="X80" s="32">
        <f t="shared" si="45"/>
        <v>9.9183139721477591</v>
      </c>
      <c r="Y80" s="32">
        <f t="shared" ref="Y80" si="46">$H$71-Y76</f>
        <v>10.018313972147753</v>
      </c>
    </row>
    <row r="81" spans="10:25" x14ac:dyDescent="0.25">
      <c r="J81" t="s">
        <v>117</v>
      </c>
      <c r="K81" s="32">
        <f>K77*POWER(K82, 3)+K78*POWER(K82, 2)+K79*K82+K80</f>
        <v>7.7066369144063174E-6</v>
      </c>
      <c r="L81" s="32">
        <f>L77*POWER(L82, 3)+L78*POWER(L82, 2)+L79*L82+L80</f>
        <v>8.8647354985482707E-6</v>
      </c>
      <c r="M81" s="32">
        <f>M77*POWER(M82, 3)+M78*POWER(M82, 2)+M79*M82+M80</f>
        <v>1.017058646901603E-5</v>
      </c>
      <c r="N81" s="32">
        <f t="shared" ref="N81:R81" si="47">N77*POWER(N82, 3)+N78*POWER(N82, 2)+N79*N82+N80</f>
        <v>1.1639686734454813E-5</v>
      </c>
      <c r="O81" s="32">
        <f t="shared" si="47"/>
        <v>1.3288800152722047E-5</v>
      </c>
      <c r="P81" s="32">
        <f t="shared" si="47"/>
        <v>1.5136030144802248E-5</v>
      </c>
      <c r="Q81" s="32">
        <f t="shared" si="47"/>
        <v>1.7200894422586543E-5</v>
      </c>
      <c r="R81" s="32">
        <f t="shared" si="47"/>
        <v>1.9504401777226121E-5</v>
      </c>
      <c r="S81" s="32">
        <f>S77*POWER(S82, 3)+S78*POWER(S82, 2)+S79*S82+S80</f>
        <v>2.2069130942270476E-5</v>
      </c>
      <c r="T81" s="32">
        <f t="shared" ref="T81" si="48">T77*POWER(T82, 3)+T78*POWER(T82, 2)+T79*T82+T80</f>
        <v>2.4919311419679957E-5</v>
      </c>
      <c r="U81" s="32">
        <f t="shared" ref="U81" si="49">U77*POWER(U82, 3)+U78*POWER(U82, 2)+U79*U82+U80</f>
        <v>2.8080906265159911E-5</v>
      </c>
      <c r="V81" s="32">
        <f t="shared" ref="V81" si="50">V77*POWER(V82, 3)+V78*POWER(V82, 2)+V79*V82+V80</f>
        <v>3.1581696786631142E-5</v>
      </c>
      <c r="W81" s="32">
        <f t="shared" ref="W81:X81" si="51">W77*POWER(W82, 3)+W78*POWER(W82, 2)+W79*W82+W80</f>
        <v>3.54513690812297E-5</v>
      </c>
      <c r="X81" s="32">
        <f t="shared" si="51"/>
        <v>3.9721602378861576E-5</v>
      </c>
      <c r="Y81" s="32">
        <f t="shared" ref="Y81" si="52">Y77*POWER(Y82, 3)+Y78*POWER(Y82, 2)+Y79*Y82+Y80</f>
        <v>4.4426159124810738E-5</v>
      </c>
    </row>
    <row r="82" spans="10:25" x14ac:dyDescent="0.25">
      <c r="J82" t="s">
        <v>134</v>
      </c>
      <c r="K82" s="41">
        <v>2.4516596936805211E-2</v>
      </c>
      <c r="L82" s="41">
        <v>2.4711732863469178E-2</v>
      </c>
      <c r="M82" s="41">
        <v>2.4905751422766284E-2</v>
      </c>
      <c r="N82" s="41">
        <v>2.5098667967518851E-2</v>
      </c>
      <c r="O82" s="41">
        <v>2.5290497518322519E-2</v>
      </c>
      <c r="P82" s="41">
        <v>2.5481254773023598E-2</v>
      </c>
      <c r="Q82" s="41">
        <v>2.5670954115848493E-2</v>
      </c>
      <c r="R82" s="41">
        <v>2.5859609626200295E-2</v>
      </c>
      <c r="S82" s="41">
        <v>2.6047235087136859E-2</v>
      </c>
      <c r="T82" s="41">
        <v>2.6233843993544108E-2</v>
      </c>
      <c r="U82" s="41">
        <v>2.6419449560017474E-2</v>
      </c>
      <c r="V82" s="41">
        <v>2.6604064728463869E-2</v>
      </c>
      <c r="W82" s="41">
        <v>2.6787702175435881E-2</v>
      </c>
      <c r="X82" s="41">
        <v>2.6970374319209473E-2</v>
      </c>
      <c r="Y82" s="41">
        <v>2.7152093326615737E-2</v>
      </c>
    </row>
    <row r="83" spans="10:25" x14ac:dyDescent="0.25">
      <c r="J83" t="s">
        <v>135</v>
      </c>
      <c r="K83" s="48">
        <f>K82*1000</f>
        <v>24.516596936805211</v>
      </c>
      <c r="L83" s="48">
        <f t="shared" ref="L83:Y83" si="53">L82*1000</f>
        <v>24.711732863469177</v>
      </c>
      <c r="M83" s="48">
        <f t="shared" si="53"/>
        <v>24.905751422766283</v>
      </c>
      <c r="N83" s="48">
        <f t="shared" si="53"/>
        <v>25.09866796751885</v>
      </c>
      <c r="O83" s="48">
        <f t="shared" si="53"/>
        <v>25.290497518322518</v>
      </c>
      <c r="P83" s="48">
        <f t="shared" si="53"/>
        <v>25.481254773023597</v>
      </c>
      <c r="Q83" s="48">
        <f t="shared" si="53"/>
        <v>25.670954115848492</v>
      </c>
      <c r="R83" s="48">
        <f t="shared" si="53"/>
        <v>25.859609626200296</v>
      </c>
      <c r="S83" s="48">
        <f t="shared" si="53"/>
        <v>26.047235087136858</v>
      </c>
      <c r="T83" s="48">
        <f t="shared" si="53"/>
        <v>26.233843993544109</v>
      </c>
      <c r="U83" s="48">
        <f t="shared" si="53"/>
        <v>26.419449560017476</v>
      </c>
      <c r="V83" s="48">
        <f t="shared" si="53"/>
        <v>26.604064728463868</v>
      </c>
      <c r="W83" s="48">
        <f t="shared" si="53"/>
        <v>26.787702175435882</v>
      </c>
      <c r="X83" s="48">
        <f t="shared" si="53"/>
        <v>26.970374319209473</v>
      </c>
      <c r="Y83" s="48">
        <f t="shared" si="53"/>
        <v>27.152093326615738</v>
      </c>
    </row>
    <row r="84" spans="10:25" x14ac:dyDescent="0.25">
      <c r="J84" t="s">
        <v>136</v>
      </c>
      <c r="K84" s="48">
        <f>K82*3600</f>
        <v>88.259748972498755</v>
      </c>
      <c r="L84" s="48">
        <f t="shared" ref="L84:Y84" si="54">L82*3600</f>
        <v>88.962238308489049</v>
      </c>
      <c r="M84" s="48">
        <f t="shared" si="54"/>
        <v>89.660705121958628</v>
      </c>
      <c r="N84" s="48">
        <f t="shared" si="54"/>
        <v>90.355204683067868</v>
      </c>
      <c r="O84" s="48">
        <f t="shared" si="54"/>
        <v>91.045791065961069</v>
      </c>
      <c r="P84" s="48">
        <f t="shared" si="54"/>
        <v>91.732517182884948</v>
      </c>
      <c r="Q84" s="48">
        <f t="shared" si="54"/>
        <v>92.415434817054575</v>
      </c>
      <c r="R84" s="48">
        <f t="shared" si="54"/>
        <v>93.094594654321057</v>
      </c>
      <c r="S84" s="48">
        <f t="shared" si="54"/>
        <v>93.770046313692688</v>
      </c>
      <c r="T84" s="48">
        <f t="shared" si="54"/>
        <v>94.441838376758781</v>
      </c>
      <c r="U84" s="48">
        <f t="shared" si="54"/>
        <v>95.110018416062914</v>
      </c>
      <c r="V84" s="48">
        <f t="shared" si="54"/>
        <v>95.774633022469928</v>
      </c>
      <c r="W84" s="48">
        <f t="shared" si="54"/>
        <v>96.435727831569167</v>
      </c>
      <c r="X84" s="48">
        <f t="shared" si="54"/>
        <v>97.093347549154103</v>
      </c>
      <c r="Y84" s="48">
        <f t="shared" si="54"/>
        <v>97.747535975816646</v>
      </c>
    </row>
    <row r="85" spans="10:25" x14ac:dyDescent="0.25">
      <c r="J85" t="s">
        <v>118</v>
      </c>
      <c r="K85" s="5">
        <f>$E$71*POWER(K82, 3)+$F$71*POWER(K82, 2)+$G$71*K82+$H$71</f>
        <v>12.189352035979116</v>
      </c>
      <c r="L85" s="5">
        <f>$E$71*POWER(L82, 3)+$F$71*POWER(L82, 2)+$G$71*L82+$H$71</f>
        <v>12.140323875712991</v>
      </c>
      <c r="M85" s="5">
        <f>$E$71*POWER(M82, 3)+$F$71*POWER(M82, 2)+$G$71*M82+$H$71</f>
        <v>12.091421439957763</v>
      </c>
      <c r="N85" s="5">
        <f t="shared" ref="N85:R85" si="55">$E$71*POWER(N82, 3)+$F$71*POWER(N82, 2)+$G$71*N82+$H$71</f>
        <v>12.042641645216548</v>
      </c>
      <c r="O85" s="5">
        <f t="shared" si="55"/>
        <v>11.993981491659534</v>
      </c>
      <c r="P85" s="5">
        <f t="shared" si="55"/>
        <v>11.945438060401333</v>
      </c>
      <c r="Q85" s="5">
        <f t="shared" si="55"/>
        <v>11.897008510889123</v>
      </c>
      <c r="R85" s="5">
        <f t="shared" si="55"/>
        <v>11.848690078396359</v>
      </c>
      <c r="S85" s="5">
        <f>$E$71*POWER(S82, 3)+$F$71*POWER(S82, 2)+$G$71*S82+$H$71</f>
        <v>11.800480071617219</v>
      </c>
      <c r="T85" s="5">
        <f t="shared" ref="T85" si="56">$E$71*POWER(T82, 3)+$F$71*POWER(T82, 2)+$G$71*T82+$H$71</f>
        <v>11.752375870357174</v>
      </c>
      <c r="U85" s="5">
        <f t="shared" ref="U85" si="57">$E$71*POWER(U82, 3)+$F$71*POWER(U82, 2)+$G$71*U82+$H$71</f>
        <v>11.704374923315269</v>
      </c>
      <c r="V85" s="5">
        <f t="shared" ref="V85" si="58">$E$71*POWER(V82, 3)+$F$71*POWER(V82, 2)+$G$71*V82+$H$71</f>
        <v>11.656474745954002</v>
      </c>
      <c r="W85" s="5">
        <f t="shared" ref="W85:X85" si="59">$E$71*POWER(W82, 3)+$F$71*POWER(W82, 2)+$G$71*W82+$H$71</f>
        <v>11.60867291845287</v>
      </c>
      <c r="X85" s="5">
        <f t="shared" si="59"/>
        <v>11.560967083741815</v>
      </c>
      <c r="Y85" s="5">
        <f t="shared" ref="Y85" si="60">$E$71*POWER(Y82, 3)+$F$71*POWER(Y82, 2)+$G$71*Y82+$H$71</f>
        <v>11.51335494561107</v>
      </c>
    </row>
    <row r="86" spans="10:25" x14ac:dyDescent="0.25">
      <c r="J86" t="s">
        <v>158</v>
      </c>
      <c r="K86" s="5">
        <f>K82/$G$32</f>
        <v>1.3880592745537275</v>
      </c>
      <c r="L86" s="5">
        <f t="shared" ref="L86:Y86" si="61">L82/$G$32</f>
        <v>1.3991073100336406</v>
      </c>
      <c r="M86" s="5">
        <f t="shared" si="61"/>
        <v>1.4100920833837951</v>
      </c>
      <c r="N86" s="5">
        <f t="shared" si="61"/>
        <v>1.4210144638368776</v>
      </c>
      <c r="O86" s="5">
        <f t="shared" si="61"/>
        <v>1.4318753018158539</v>
      </c>
      <c r="P86" s="5">
        <f t="shared" si="61"/>
        <v>1.4426754294705504</v>
      </c>
      <c r="Q86" s="5">
        <f t="shared" si="61"/>
        <v>1.4534156611945359</v>
      </c>
      <c r="R86" s="5">
        <f t="shared" si="61"/>
        <v>1.4640967941231589</v>
      </c>
      <c r="S86" s="5">
        <f t="shared" si="61"/>
        <v>1.4747196086135517</v>
      </c>
      <c r="T86" s="5">
        <f t="shared" si="61"/>
        <v>1.4852848687073803</v>
      </c>
      <c r="U86" s="5">
        <f t="shared" si="61"/>
        <v>1.4957933225770685</v>
      </c>
      <c r="V86" s="5">
        <f t="shared" si="61"/>
        <v>1.5062457029561991</v>
      </c>
      <c r="W86" s="5">
        <f t="shared" si="61"/>
        <v>1.516642727554756</v>
      </c>
      <c r="X86" s="5">
        <f t="shared" si="61"/>
        <v>1.5269850994598426</v>
      </c>
      <c r="Y86" s="5">
        <f t="shared" si="61"/>
        <v>1.5372735075224762</v>
      </c>
    </row>
    <row r="87" spans="10:25" x14ac:dyDescent="0.25">
      <c r="J87" t="s">
        <v>159</v>
      </c>
      <c r="K87" s="5">
        <f>K82/$G$41</f>
        <v>0.78078334193647159</v>
      </c>
      <c r="L87" s="5">
        <f t="shared" ref="L87:Y87" si="62">L82/$G$41</f>
        <v>0.78699786189392273</v>
      </c>
      <c r="M87" s="5">
        <f t="shared" si="62"/>
        <v>0.79317679690338472</v>
      </c>
      <c r="N87" s="5">
        <f t="shared" si="62"/>
        <v>0.79932063590824354</v>
      </c>
      <c r="O87" s="5">
        <f t="shared" si="62"/>
        <v>0.80542985727141769</v>
      </c>
      <c r="P87" s="5">
        <f t="shared" si="62"/>
        <v>0.81150492907718452</v>
      </c>
      <c r="Q87" s="5">
        <f t="shared" si="62"/>
        <v>0.81754630942192641</v>
      </c>
      <c r="R87" s="5">
        <f t="shared" si="62"/>
        <v>0.8235544466942768</v>
      </c>
      <c r="S87" s="5">
        <f t="shared" si="62"/>
        <v>0.82952977984512277</v>
      </c>
      <c r="T87" s="5">
        <f t="shared" si="62"/>
        <v>0.83547273864790139</v>
      </c>
      <c r="U87" s="5">
        <f t="shared" si="62"/>
        <v>0.84138374394960103</v>
      </c>
      <c r="V87" s="5">
        <f t="shared" si="62"/>
        <v>0.84726320791286192</v>
      </c>
      <c r="W87" s="5">
        <f t="shared" si="62"/>
        <v>0.85311153424955022</v>
      </c>
      <c r="X87" s="5">
        <f t="shared" si="62"/>
        <v>0.85892911844616149</v>
      </c>
      <c r="Y87" s="5">
        <f t="shared" si="62"/>
        <v>0.86471634798139274</v>
      </c>
    </row>
    <row r="88" spans="10:25" x14ac:dyDescent="0.25">
      <c r="J88" t="s">
        <v>157</v>
      </c>
    </row>
    <row r="89" spans="10:25" x14ac:dyDescent="0.25">
      <c r="J89" t="s">
        <v>119</v>
      </c>
      <c r="K89" s="29"/>
      <c r="L89" s="5">
        <f>(L74-K74)*$E$74</f>
        <v>0.49062499999997211</v>
      </c>
      <c r="M89" s="5">
        <f>(M74-L74)*$E$74</f>
        <v>0.49062499999997211</v>
      </c>
      <c r="N89" s="5">
        <f>(N74-M74)*$E$74</f>
        <v>0.49062499999997211</v>
      </c>
      <c r="O89" s="5">
        <f t="shared" ref="O89:X89" si="63">(O74-N74)*$E$74</f>
        <v>0.49062499999997211</v>
      </c>
      <c r="P89" s="5">
        <f t="shared" si="63"/>
        <v>0.49062499999997211</v>
      </c>
      <c r="Q89" s="5">
        <f t="shared" si="63"/>
        <v>0.49062499999997211</v>
      </c>
      <c r="R89" s="5">
        <f t="shared" si="63"/>
        <v>0.49062499999997211</v>
      </c>
      <c r="S89" s="5">
        <f t="shared" si="63"/>
        <v>0.49062499999997211</v>
      </c>
      <c r="T89" s="5">
        <f t="shared" si="63"/>
        <v>0.49062499999997211</v>
      </c>
      <c r="U89" s="5">
        <f t="shared" si="63"/>
        <v>0.49062499999997211</v>
      </c>
      <c r="V89" s="5">
        <f t="shared" si="63"/>
        <v>0.49062499999997211</v>
      </c>
      <c r="W89" s="5">
        <f t="shared" si="63"/>
        <v>0.49062499999997211</v>
      </c>
      <c r="X89" s="5">
        <f t="shared" si="63"/>
        <v>0.49062499999997211</v>
      </c>
      <c r="Y89" s="5">
        <f t="shared" ref="Y89" si="64">(Y74-X74)*$E$74</f>
        <v>0.49062499999997211</v>
      </c>
    </row>
    <row r="90" spans="10:25" x14ac:dyDescent="0.25">
      <c r="J90" t="s">
        <v>120</v>
      </c>
      <c r="L90" s="37">
        <f>AVERAGEA(L82,K82)</f>
        <v>2.4614164900137195E-2</v>
      </c>
      <c r="M90" s="37">
        <f t="shared" ref="M90:Y90" si="65">AVERAGEA(M82,L82)</f>
        <v>2.4808742143117731E-2</v>
      </c>
      <c r="N90" s="37">
        <f t="shared" si="65"/>
        <v>2.5002209695142566E-2</v>
      </c>
      <c r="O90" s="37">
        <f t="shared" si="65"/>
        <v>2.5194582742920683E-2</v>
      </c>
      <c r="P90" s="37">
        <f t="shared" si="65"/>
        <v>2.5385876145673059E-2</v>
      </c>
      <c r="Q90" s="37">
        <f t="shared" si="65"/>
        <v>2.5576104444436046E-2</v>
      </c>
      <c r="R90" s="37">
        <f t="shared" si="65"/>
        <v>2.5765281871024392E-2</v>
      </c>
      <c r="S90" s="37">
        <f t="shared" si="65"/>
        <v>2.5953422356668577E-2</v>
      </c>
      <c r="T90" s="37">
        <f t="shared" si="65"/>
        <v>2.6140539540340485E-2</v>
      </c>
      <c r="U90" s="37">
        <f t="shared" si="65"/>
        <v>2.6326646776780791E-2</v>
      </c>
      <c r="V90" s="37">
        <f t="shared" si="65"/>
        <v>2.6511757144240672E-2</v>
      </c>
      <c r="W90" s="37">
        <f t="shared" si="65"/>
        <v>2.6695883451949877E-2</v>
      </c>
      <c r="X90" s="37">
        <f t="shared" si="65"/>
        <v>2.6879038247322677E-2</v>
      </c>
      <c r="Y90" s="37">
        <f t="shared" si="65"/>
        <v>2.7061233822912603E-2</v>
      </c>
    </row>
    <row r="91" spans="10:25" x14ac:dyDescent="0.25">
      <c r="J91" t="s">
        <v>121</v>
      </c>
      <c r="L91" s="5">
        <f t="shared" ref="L91:Y91" si="66">L89/L90</f>
        <v>19.932628305307137</v>
      </c>
      <c r="M91" s="5">
        <f t="shared" si="66"/>
        <v>19.77629487096257</v>
      </c>
      <c r="N91" s="5">
        <f t="shared" si="66"/>
        <v>19.623265542616853</v>
      </c>
      <c r="O91" s="5">
        <f t="shared" si="66"/>
        <v>19.473432245581868</v>
      </c>
      <c r="P91" s="5">
        <f t="shared" si="66"/>
        <v>19.326691629022132</v>
      </c>
      <c r="Q91" s="5">
        <f t="shared" si="66"/>
        <v>19.182944809513597</v>
      </c>
      <c r="R91" s="5">
        <f t="shared" si="66"/>
        <v>19.042097131168141</v>
      </c>
      <c r="S91" s="5">
        <f t="shared" si="66"/>
        <v>18.904057941087256</v>
      </c>
      <c r="T91" s="5">
        <f t="shared" si="66"/>
        <v>18.768740379012915</v>
      </c>
      <c r="U91" s="5">
        <f t="shared" si="66"/>
        <v>18.636061180138093</v>
      </c>
      <c r="V91" s="5">
        <f t="shared" si="66"/>
        <v>18.505940490125298</v>
      </c>
      <c r="W91" s="5">
        <f t="shared" si="66"/>
        <v>18.378301691459349</v>
      </c>
      <c r="X91" s="5">
        <f t="shared" si="66"/>
        <v>18.253071240331355</v>
      </c>
      <c r="Y91" s="5">
        <f t="shared" si="66"/>
        <v>18.130178513315329</v>
      </c>
    </row>
    <row r="92" spans="10:25" x14ac:dyDescent="0.25">
      <c r="J92" t="s">
        <v>123</v>
      </c>
      <c r="L92" s="5">
        <f t="shared" ref="L92:Y92" si="67">L89+K92</f>
        <v>0.49062499999997211</v>
      </c>
      <c r="M92" s="5">
        <f t="shared" si="67"/>
        <v>0.98124999999994422</v>
      </c>
      <c r="N92" s="5">
        <f t="shared" si="67"/>
        <v>1.4718749999999163</v>
      </c>
      <c r="O92" s="5">
        <f t="shared" si="67"/>
        <v>1.9624999999998884</v>
      </c>
      <c r="P92" s="5">
        <f t="shared" si="67"/>
        <v>2.4531249999998606</v>
      </c>
      <c r="Q92" s="5">
        <f t="shared" si="67"/>
        <v>2.9437499999998327</v>
      </c>
      <c r="R92" s="5">
        <f t="shared" si="67"/>
        <v>3.4343749999998048</v>
      </c>
      <c r="S92" s="5">
        <f t="shared" si="67"/>
        <v>3.9249999999997769</v>
      </c>
      <c r="T92" s="5">
        <f t="shared" si="67"/>
        <v>4.415624999999749</v>
      </c>
      <c r="U92" s="5">
        <f t="shared" si="67"/>
        <v>4.9062499999997211</v>
      </c>
      <c r="V92" s="5">
        <f t="shared" si="67"/>
        <v>5.3968749999996932</v>
      </c>
      <c r="W92" s="5">
        <f t="shared" si="67"/>
        <v>5.8874999999996653</v>
      </c>
      <c r="X92" s="5">
        <f t="shared" si="67"/>
        <v>6.3781249999996374</v>
      </c>
      <c r="Y92" s="5">
        <f t="shared" si="67"/>
        <v>6.8687499999996096</v>
      </c>
    </row>
    <row r="93" spans="10:25" x14ac:dyDescent="0.25">
      <c r="J93" t="s">
        <v>122</v>
      </c>
      <c r="L93" s="5">
        <f>L91+K93</f>
        <v>19.932628305307137</v>
      </c>
      <c r="M93" s="5">
        <f t="shared" ref="M93:N93" si="68">M91+L93</f>
        <v>39.708923176269707</v>
      </c>
      <c r="N93" s="5">
        <f t="shared" si="68"/>
        <v>59.332188718886556</v>
      </c>
      <c r="O93" s="5">
        <f t="shared" ref="O93:X93" si="69">O91+N93</f>
        <v>78.805620964468432</v>
      </c>
      <c r="P93" s="5">
        <f t="shared" si="69"/>
        <v>98.132312593490568</v>
      </c>
      <c r="Q93" s="5">
        <f t="shared" si="69"/>
        <v>117.31525740300417</v>
      </c>
      <c r="R93" s="5">
        <f t="shared" si="69"/>
        <v>136.35735453417232</v>
      </c>
      <c r="S93" s="5">
        <f t="shared" si="69"/>
        <v>155.26141247525956</v>
      </c>
      <c r="T93" s="5">
        <f t="shared" si="69"/>
        <v>174.03015285427247</v>
      </c>
      <c r="U93" s="5">
        <f t="shared" si="69"/>
        <v>192.66621403441056</v>
      </c>
      <c r="V93" s="5">
        <f t="shared" si="69"/>
        <v>211.17215452453587</v>
      </c>
      <c r="W93" s="5">
        <f t="shared" si="69"/>
        <v>229.55045621599521</v>
      </c>
      <c r="X93" s="5">
        <f t="shared" si="69"/>
        <v>247.80352745632658</v>
      </c>
      <c r="Y93" s="5">
        <f t="shared" ref="Y93" si="70">Y91+X93</f>
        <v>265.93370596964189</v>
      </c>
    </row>
    <row r="94" spans="10:25" x14ac:dyDescent="0.25">
      <c r="J94" t="s">
        <v>124</v>
      </c>
      <c r="L94" s="5">
        <f>3600*L92/L93</f>
        <v>88.610993640493902</v>
      </c>
      <c r="M94" s="5">
        <f t="shared" ref="M94:N94" si="71">3600*M92/M93</f>
        <v>88.959853792027346</v>
      </c>
      <c r="N94" s="5">
        <f t="shared" si="71"/>
        <v>89.306498115297188</v>
      </c>
      <c r="O94" s="5">
        <f t="shared" ref="O94" si="72">3600*O92/O93</f>
        <v>89.65096542015749</v>
      </c>
      <c r="P94" s="5">
        <f t="shared" ref="P94" si="73">3600*P92/P93</f>
        <v>89.993293407673178</v>
      </c>
      <c r="Q94" s="5">
        <f t="shared" ref="Q94" si="74">3600*Q92/Q93</f>
        <v>90.333518713551584</v>
      </c>
      <c r="R94" s="5">
        <f t="shared" ref="R94" si="75">3600*R92/R93</f>
        <v>90.671676949414831</v>
      </c>
      <c r="S94" s="5">
        <f t="shared" ref="S94" si="76">3600*S92/S93</f>
        <v>91.007802742041704</v>
      </c>
      <c r="T94" s="5">
        <f t="shared" ref="T94" si="77">3600*T92/T93</f>
        <v>91.341929770699736</v>
      </c>
      <c r="U94" s="5">
        <f t="shared" ref="U94" si="78">3600*U92/U93</f>
        <v>91.674090802679288</v>
      </c>
      <c r="V94" s="5">
        <f t="shared" ref="V94" si="79">3600*V92/V93</f>
        <v>92.004317727134278</v>
      </c>
      <c r="W94" s="5">
        <f t="shared" ref="W94" si="80">3600*W92/W93</f>
        <v>92.332641587326606</v>
      </c>
      <c r="X94" s="5">
        <f t="shared" ref="X94:Y94" si="81">3600*X92/X93</f>
        <v>92.659092611364997</v>
      </c>
      <c r="Y94" s="5">
        <f t="shared" si="81"/>
        <v>92.983700241523366</v>
      </c>
    </row>
    <row r="95" spans="10:25" x14ac:dyDescent="0.25">
      <c r="J95" t="s">
        <v>127</v>
      </c>
      <c r="L95" s="5">
        <f>L94/2</f>
        <v>44.305496820246951</v>
      </c>
      <c r="M95" s="5">
        <f t="shared" ref="M95:N95" si="82">M94/2</f>
        <v>44.479926896013673</v>
      </c>
      <c r="N95" s="5">
        <f t="shared" si="82"/>
        <v>44.653249057648594</v>
      </c>
      <c r="O95" s="5">
        <f t="shared" ref="O95" si="83">O94/2</f>
        <v>44.825482710078745</v>
      </c>
      <c r="P95" s="5">
        <f t="shared" ref="P95" si="84">P94/2</f>
        <v>44.996646703836589</v>
      </c>
      <c r="Q95" s="5">
        <f t="shared" ref="Q95" si="85">Q94/2</f>
        <v>45.166759356775792</v>
      </c>
      <c r="R95" s="5">
        <f t="shared" ref="R95" si="86">R94/2</f>
        <v>45.335838474707415</v>
      </c>
      <c r="S95" s="39">
        <f t="shared" ref="S95" si="87">S94/2</f>
        <v>45.503901371020852</v>
      </c>
      <c r="T95" s="5">
        <f t="shared" ref="T95" si="88">T94/2</f>
        <v>45.670964885349868</v>
      </c>
      <c r="U95" s="5">
        <f t="shared" ref="U95" si="89">U94/2</f>
        <v>45.837045401339644</v>
      </c>
      <c r="V95" s="5">
        <f t="shared" ref="V95" si="90">V94/2</f>
        <v>46.002158863567139</v>
      </c>
      <c r="W95" s="5">
        <f t="shared" ref="W95" si="91">W94/2</f>
        <v>46.166320793663303</v>
      </c>
      <c r="X95" s="5">
        <f t="shared" ref="X95:Y95" si="92">X94/2</f>
        <v>46.329546305682499</v>
      </c>
      <c r="Y95" s="40">
        <f t="shared" si="92"/>
        <v>46.491850120761683</v>
      </c>
    </row>
    <row r="96" spans="10:25" x14ac:dyDescent="0.25">
      <c r="J96" t="s">
        <v>156</v>
      </c>
      <c r="L96" s="5">
        <f>L95/3.6</f>
        <v>12.307082450068597</v>
      </c>
      <c r="M96" s="5">
        <f t="shared" ref="M96:Y96" si="93">M95/3.6</f>
        <v>12.355535248892686</v>
      </c>
      <c r="N96" s="5">
        <f t="shared" si="93"/>
        <v>12.403680293791275</v>
      </c>
      <c r="O96" s="5">
        <f t="shared" si="93"/>
        <v>12.451522975021874</v>
      </c>
      <c r="P96" s="5">
        <f t="shared" si="93"/>
        <v>12.499068528843496</v>
      </c>
      <c r="Q96" s="5">
        <f t="shared" si="93"/>
        <v>12.54632204354883</v>
      </c>
      <c r="R96" s="5">
        <f t="shared" si="93"/>
        <v>12.593288465196505</v>
      </c>
      <c r="S96" s="5">
        <f t="shared" si="93"/>
        <v>12.639972603061347</v>
      </c>
      <c r="T96" s="5">
        <f t="shared" si="93"/>
        <v>12.686379134819408</v>
      </c>
      <c r="U96" s="5">
        <f t="shared" si="93"/>
        <v>12.732512611483234</v>
      </c>
      <c r="V96" s="5">
        <f t="shared" si="93"/>
        <v>12.778377462101982</v>
      </c>
      <c r="W96" s="5">
        <f t="shared" si="93"/>
        <v>12.823977998239807</v>
      </c>
      <c r="X96" s="5">
        <f t="shared" si="93"/>
        <v>12.869318418245138</v>
      </c>
      <c r="Y96" s="5">
        <f t="shared" si="93"/>
        <v>12.91440281132269</v>
      </c>
    </row>
    <row r="97" spans="10:25" x14ac:dyDescent="0.25">
      <c r="J97" t="s">
        <v>128</v>
      </c>
      <c r="L97" s="5">
        <f>L94-L95</f>
        <v>44.305496820246951</v>
      </c>
      <c r="M97" s="5">
        <f t="shared" ref="M97:N97" si="94">M94-M95</f>
        <v>44.479926896013673</v>
      </c>
      <c r="N97" s="5">
        <f t="shared" si="94"/>
        <v>44.653249057648594</v>
      </c>
      <c r="O97" s="5">
        <f t="shared" ref="O97" si="95">O94-O95</f>
        <v>44.825482710078745</v>
      </c>
      <c r="P97" s="5">
        <f t="shared" ref="P97" si="96">P94-P95</f>
        <v>44.996646703836589</v>
      </c>
      <c r="Q97" s="5">
        <f t="shared" ref="Q97" si="97">Q94-Q95</f>
        <v>45.166759356775792</v>
      </c>
      <c r="R97" s="5">
        <f t="shared" ref="R97" si="98">R94-R95</f>
        <v>45.335838474707415</v>
      </c>
      <c r="S97" s="5">
        <f t="shared" ref="S97" si="99">S94-S95</f>
        <v>45.503901371020852</v>
      </c>
      <c r="T97" s="5">
        <f t="shared" ref="T97" si="100">T94-T95</f>
        <v>45.670964885349868</v>
      </c>
      <c r="U97" s="5">
        <f t="shared" ref="U97" si="101">U94-U95</f>
        <v>45.837045401339644</v>
      </c>
      <c r="V97" s="5">
        <f t="shared" ref="V97" si="102">V94-V95</f>
        <v>46.002158863567139</v>
      </c>
      <c r="W97" s="5">
        <f t="shared" ref="W97" si="103">W94-W95</f>
        <v>46.166320793663303</v>
      </c>
      <c r="X97" s="5">
        <f t="shared" ref="X97:Y97" si="104">X94-X95</f>
        <v>46.329546305682499</v>
      </c>
      <c r="Y97" s="5">
        <f t="shared" si="104"/>
        <v>46.491850120761683</v>
      </c>
    </row>
    <row r="98" spans="10:25" x14ac:dyDescent="0.25">
      <c r="J98" t="s">
        <v>130</v>
      </c>
      <c r="L98" s="38">
        <f>L$92/(L95/3600)</f>
        <v>39.865256610614274</v>
      </c>
      <c r="M98" s="38">
        <f t="shared" ref="M98:N98" si="105">M$92/(M95/3600)</f>
        <v>79.417846352539414</v>
      </c>
      <c r="N98" s="38">
        <f t="shared" si="105"/>
        <v>118.6643774377731</v>
      </c>
      <c r="O98" s="38">
        <f t="shared" ref="O98:X98" si="106">O$92/(O95/3600)</f>
        <v>157.61124192893689</v>
      </c>
      <c r="P98" s="38">
        <f t="shared" si="106"/>
        <v>196.26462518698114</v>
      </c>
      <c r="Q98" s="38">
        <f t="shared" si="106"/>
        <v>234.63051480600831</v>
      </c>
      <c r="R98" s="38">
        <f t="shared" si="106"/>
        <v>272.71470906834463</v>
      </c>
      <c r="S98" s="38">
        <f t="shared" si="106"/>
        <v>310.52282495051912</v>
      </c>
      <c r="T98" s="38">
        <f t="shared" si="106"/>
        <v>348.06030570854494</v>
      </c>
      <c r="U98" s="38">
        <f t="shared" si="106"/>
        <v>385.33242806882112</v>
      </c>
      <c r="V98" s="38">
        <f t="shared" si="106"/>
        <v>422.34430904907174</v>
      </c>
      <c r="W98" s="38">
        <f t="shared" si="106"/>
        <v>459.10091243199042</v>
      </c>
      <c r="X98" s="38">
        <f t="shared" si="106"/>
        <v>495.60705491265315</v>
      </c>
      <c r="Y98" s="38">
        <f t="shared" ref="Y98" si="107">Y$92/(Y95/3600)</f>
        <v>531.86741193928378</v>
      </c>
    </row>
    <row r="99" spans="10:25" x14ac:dyDescent="0.25">
      <c r="J99" t="s">
        <v>131</v>
      </c>
      <c r="L99" s="38">
        <f>L$92/(L97/3600)</f>
        <v>39.865256610614274</v>
      </c>
      <c r="M99" s="38">
        <f t="shared" ref="M99:N99" si="108">M$92/(M97/3600)</f>
        <v>79.417846352539414</v>
      </c>
      <c r="N99" s="38">
        <f t="shared" si="108"/>
        <v>118.6643774377731</v>
      </c>
      <c r="O99" s="38">
        <f t="shared" ref="O99:X99" si="109">O$92/(O97/3600)</f>
        <v>157.61124192893689</v>
      </c>
      <c r="P99" s="38">
        <f t="shared" si="109"/>
        <v>196.26462518698114</v>
      </c>
      <c r="Q99" s="38">
        <f t="shared" si="109"/>
        <v>234.63051480600831</v>
      </c>
      <c r="R99" s="38">
        <f t="shared" si="109"/>
        <v>272.71470906834463</v>
      </c>
      <c r="S99" s="38">
        <f t="shared" si="109"/>
        <v>310.52282495051912</v>
      </c>
      <c r="T99" s="38">
        <f t="shared" si="109"/>
        <v>348.06030570854494</v>
      </c>
      <c r="U99" s="38">
        <f t="shared" si="109"/>
        <v>385.33242806882112</v>
      </c>
      <c r="V99" s="38">
        <f t="shared" si="109"/>
        <v>422.34430904907174</v>
      </c>
      <c r="W99" s="38">
        <f t="shared" si="109"/>
        <v>459.10091243199042</v>
      </c>
      <c r="X99" s="38">
        <f t="shared" si="109"/>
        <v>495.60705491265315</v>
      </c>
      <c r="Y99" s="38">
        <f t="shared" ref="Y99" si="110">Y$92/(Y97/3600)</f>
        <v>531.86741193928378</v>
      </c>
    </row>
    <row r="100" spans="10:25" x14ac:dyDescent="0.25">
      <c r="J100" t="s">
        <v>129</v>
      </c>
      <c r="L100" s="38">
        <f>L98+L99</f>
        <v>79.730513221228549</v>
      </c>
      <c r="M100" s="38">
        <f t="shared" ref="M100:N100" si="111">M98+M99</f>
        <v>158.83569270507883</v>
      </c>
      <c r="N100" s="38">
        <f t="shared" si="111"/>
        <v>237.3287548755462</v>
      </c>
      <c r="O100" s="38">
        <f t="shared" ref="O100" si="112">O98+O99</f>
        <v>315.22248385787378</v>
      </c>
      <c r="P100" s="38">
        <f t="shared" ref="P100" si="113">P98+P99</f>
        <v>392.52925037396227</v>
      </c>
      <c r="Q100" s="38">
        <f t="shared" ref="Q100" si="114">Q98+Q99</f>
        <v>469.26102961201661</v>
      </c>
      <c r="R100" s="38">
        <f t="shared" ref="R100" si="115">R98+R99</f>
        <v>545.42941813668926</v>
      </c>
      <c r="S100" s="38">
        <f t="shared" ref="S100" si="116">S98+S99</f>
        <v>621.04564990103825</v>
      </c>
      <c r="T100" s="38">
        <f t="shared" ref="T100" si="117">T98+T99</f>
        <v>696.12061141708989</v>
      </c>
      <c r="U100" s="38">
        <f t="shared" ref="U100" si="118">U98+U99</f>
        <v>770.66485613764223</v>
      </c>
      <c r="V100" s="38">
        <f t="shared" ref="V100" si="119">V98+V99</f>
        <v>844.68861809814348</v>
      </c>
      <c r="W100" s="38">
        <f t="shared" ref="W100" si="120">W98+W99</f>
        <v>918.20182486398085</v>
      </c>
      <c r="X100" s="38">
        <f t="shared" ref="X100:Y100" si="121">X98+X99</f>
        <v>991.21410982530631</v>
      </c>
      <c r="Y100" s="38">
        <f t="shared" si="121"/>
        <v>1063.7348238785676</v>
      </c>
    </row>
    <row r="102" spans="10:25" x14ac:dyDescent="0.25">
      <c r="J102" t="s">
        <v>132</v>
      </c>
      <c r="L102" s="29">
        <f>$L$90*3600</f>
        <v>88.610993640493902</v>
      </c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</row>
    <row r="103" spans="10:25" x14ac:dyDescent="0.25">
      <c r="J103" t="s">
        <v>128</v>
      </c>
      <c r="L103" s="29">
        <f>L102-$L95</f>
        <v>44.305496820246951</v>
      </c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</row>
    <row r="104" spans="10:25" x14ac:dyDescent="0.25">
      <c r="J104" t="s">
        <v>131</v>
      </c>
      <c r="L104" s="29">
        <f>$L$89/(L103/3600)</f>
        <v>39.865256610614274</v>
      </c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</row>
    <row r="105" spans="10:25" x14ac:dyDescent="0.25">
      <c r="J105" t="s">
        <v>133</v>
      </c>
      <c r="L105" s="29">
        <f>K105+L104</f>
        <v>39.865256610614274</v>
      </c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</row>
    <row r="107" spans="10:25" x14ac:dyDescent="0.25">
      <c r="J107" t="s">
        <v>132</v>
      </c>
      <c r="L107" s="29">
        <f>L$90*3600</f>
        <v>88.610993640493902</v>
      </c>
      <c r="M107" s="29">
        <f t="shared" ref="M107" si="122">M$90*3600</f>
        <v>89.311471715223831</v>
      </c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</row>
    <row r="108" spans="10:25" x14ac:dyDescent="0.25">
      <c r="J108" t="s">
        <v>128</v>
      </c>
      <c r="L108" s="29">
        <f>L107-$M$95</f>
        <v>44.131066744480229</v>
      </c>
      <c r="M108" s="29">
        <f t="shared" ref="M108" si="123">M107-$M$95</f>
        <v>44.831544819210158</v>
      </c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</row>
    <row r="109" spans="10:25" x14ac:dyDescent="0.25">
      <c r="J109" t="s">
        <v>131</v>
      </c>
      <c r="L109" s="29">
        <f>L$89/(L108/3600)</f>
        <v>40.022825875171407</v>
      </c>
      <c r="M109" s="29">
        <f t="shared" ref="M109" si="124">M$89/(M108/3600)</f>
        <v>39.397482445063275</v>
      </c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</row>
    <row r="110" spans="10:25" x14ac:dyDescent="0.25">
      <c r="J110" t="s">
        <v>133</v>
      </c>
      <c r="L110" s="29">
        <f t="shared" ref="L110" si="125">K110+L109</f>
        <v>40.022825875171407</v>
      </c>
      <c r="M110" s="29">
        <f t="shared" ref="M110" si="126">L110+M109</f>
        <v>79.420308320234682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</row>
    <row r="112" spans="10:25" x14ac:dyDescent="0.25">
      <c r="J112" t="s">
        <v>132</v>
      </c>
      <c r="L112" s="29">
        <f t="shared" ref="L112:T142" si="127">L$90*3600</f>
        <v>88.610993640493902</v>
      </c>
      <c r="M112" s="29">
        <f t="shared" si="127"/>
        <v>89.311471715223831</v>
      </c>
      <c r="N112" s="29">
        <f t="shared" si="127"/>
        <v>90.007954902513234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</row>
    <row r="113" spans="10:25" x14ac:dyDescent="0.25">
      <c r="J113" t="s">
        <v>128</v>
      </c>
      <c r="L113" s="29">
        <f>L112-$N$95</f>
        <v>43.957744582845308</v>
      </c>
      <c r="M113" s="29">
        <f t="shared" ref="M113:N113" si="128">M112-$N$95</f>
        <v>44.658222657575237</v>
      </c>
      <c r="N113" s="29">
        <f t="shared" si="128"/>
        <v>45.35470584486464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</row>
    <row r="114" spans="10:25" x14ac:dyDescent="0.25">
      <c r="J114" t="s">
        <v>131</v>
      </c>
      <c r="L114" s="29">
        <f t="shared" ref="L114" si="129">L$89/(L113/3600)</f>
        <v>40.180632941053716</v>
      </c>
      <c r="M114" s="29">
        <f t="shared" ref="M114" si="130">M$89/(M113/3600)</f>
        <v>39.550387249912106</v>
      </c>
      <c r="N114" s="29">
        <f t="shared" ref="N114" si="131">N$89/(N113/3600)</f>
        <v>38.943037268091693</v>
      </c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</row>
    <row r="115" spans="10:25" x14ac:dyDescent="0.25">
      <c r="J115" t="s">
        <v>133</v>
      </c>
      <c r="L115" s="29">
        <f t="shared" ref="L115" si="132">K115+L114</f>
        <v>40.180632941053716</v>
      </c>
      <c r="M115" s="29">
        <f t="shared" ref="M115" si="133">L115+M114</f>
        <v>79.731020190965822</v>
      </c>
      <c r="N115" s="29">
        <f t="shared" ref="N115" si="134">M115+N114</f>
        <v>118.67405745905751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7" spans="10:25" x14ac:dyDescent="0.25">
      <c r="J117" t="s">
        <v>132</v>
      </c>
      <c r="L117" s="29">
        <f t="shared" ref="L117" si="135">L$90*3600</f>
        <v>88.610993640493902</v>
      </c>
      <c r="M117" s="29">
        <f t="shared" si="127"/>
        <v>89.311471715223831</v>
      </c>
      <c r="N117" s="29">
        <f t="shared" si="127"/>
        <v>90.007954902513234</v>
      </c>
      <c r="O117" s="29">
        <f t="shared" si="127"/>
        <v>90.700497874514454</v>
      </c>
      <c r="P117" s="29"/>
      <c r="Q117" s="29"/>
      <c r="R117" s="29"/>
      <c r="S117" s="29"/>
      <c r="T117" s="29"/>
      <c r="U117" s="29"/>
      <c r="V117" s="29"/>
      <c r="W117" s="29"/>
      <c r="X117" s="29"/>
      <c r="Y117" s="29"/>
    </row>
    <row r="118" spans="10:25" x14ac:dyDescent="0.25">
      <c r="J118" t="s">
        <v>128</v>
      </c>
      <c r="L118" s="29">
        <f>L117-$O$95</f>
        <v>43.785510930415157</v>
      </c>
      <c r="M118" s="29">
        <f t="shared" ref="M118:O118" si="136">M117-$O$95</f>
        <v>44.485989005145086</v>
      </c>
      <c r="N118" s="29">
        <f t="shared" si="136"/>
        <v>45.182472192434489</v>
      </c>
      <c r="O118" s="29">
        <f t="shared" si="136"/>
        <v>45.875015164435709</v>
      </c>
      <c r="P118" s="29"/>
      <c r="Q118" s="29"/>
      <c r="R118" s="29"/>
      <c r="S118" s="29"/>
      <c r="T118" s="29"/>
      <c r="U118" s="29"/>
      <c r="V118" s="29"/>
      <c r="W118" s="29"/>
      <c r="X118" s="29"/>
      <c r="Y118" s="29"/>
    </row>
    <row r="119" spans="10:25" x14ac:dyDescent="0.25">
      <c r="J119" t="s">
        <v>131</v>
      </c>
      <c r="L119" s="29">
        <f t="shared" ref="L119" si="137">L$89/(L118/3600)</f>
        <v>40.338686530502308</v>
      </c>
      <c r="M119" s="29">
        <f t="shared" ref="M119" si="138">M$89/(M118/3600)</f>
        <v>39.70351203826494</v>
      </c>
      <c r="N119" s="29">
        <f t="shared" ref="N119" si="139">N$89/(N118/3600)</f>
        <v>39.091486461328401</v>
      </c>
      <c r="O119" s="29">
        <f t="shared" ref="O119" si="140">O$89/(O118/3600)</f>
        <v>38.501349670815429</v>
      </c>
      <c r="P119" s="29"/>
      <c r="Q119" s="29"/>
      <c r="R119" s="29"/>
      <c r="S119" s="29"/>
      <c r="T119" s="29"/>
      <c r="U119" s="29"/>
      <c r="V119" s="29"/>
      <c r="W119" s="29"/>
      <c r="X119" s="29"/>
      <c r="Y119" s="29"/>
    </row>
    <row r="120" spans="10:25" x14ac:dyDescent="0.25">
      <c r="J120" t="s">
        <v>133</v>
      </c>
      <c r="L120" s="29">
        <f t="shared" ref="L120" si="141">K120+L119</f>
        <v>40.338686530502308</v>
      </c>
      <c r="M120" s="29">
        <f t="shared" ref="M120" si="142">L120+M119</f>
        <v>80.042198568767247</v>
      </c>
      <c r="N120" s="29">
        <f t="shared" ref="N120" si="143">M120+N119</f>
        <v>119.13368503009565</v>
      </c>
      <c r="O120" s="29">
        <f t="shared" ref="O120" si="144">N120+O119</f>
        <v>157.63503470091109</v>
      </c>
      <c r="P120" s="29"/>
      <c r="Q120" s="29"/>
      <c r="R120" s="29"/>
      <c r="S120" s="29"/>
      <c r="T120" s="29"/>
      <c r="U120" s="29"/>
      <c r="V120" s="29"/>
      <c r="W120" s="29"/>
      <c r="X120" s="29"/>
      <c r="Y120" s="29"/>
    </row>
    <row r="122" spans="10:25" x14ac:dyDescent="0.25">
      <c r="J122" t="s">
        <v>132</v>
      </c>
      <c r="L122" s="29">
        <f t="shared" ref="L122" si="145">L$90*3600</f>
        <v>88.610993640493902</v>
      </c>
      <c r="M122" s="29">
        <f t="shared" si="127"/>
        <v>89.311471715223831</v>
      </c>
      <c r="N122" s="29">
        <f t="shared" si="127"/>
        <v>90.007954902513234</v>
      </c>
      <c r="O122" s="29">
        <f t="shared" si="127"/>
        <v>90.700497874514454</v>
      </c>
      <c r="P122" s="29">
        <f t="shared" si="127"/>
        <v>91.389154124423015</v>
      </c>
      <c r="Q122" s="29"/>
      <c r="R122" s="29"/>
      <c r="S122" s="29"/>
      <c r="T122" s="29"/>
      <c r="U122" s="29"/>
      <c r="V122" s="29"/>
      <c r="W122" s="29"/>
      <c r="X122" s="29"/>
      <c r="Y122" s="29"/>
    </row>
    <row r="123" spans="10:25" x14ac:dyDescent="0.25">
      <c r="J123" t="s">
        <v>128</v>
      </c>
      <c r="L123" s="29">
        <f>L122-$P$95</f>
        <v>43.614346936657313</v>
      </c>
      <c r="M123" s="29">
        <f t="shared" ref="M123:P123" si="146">M122-$P$95</f>
        <v>44.314825011387242</v>
      </c>
      <c r="N123" s="29">
        <f t="shared" si="146"/>
        <v>45.011308198676645</v>
      </c>
      <c r="O123" s="29">
        <f t="shared" si="146"/>
        <v>45.703851170677865</v>
      </c>
      <c r="P123" s="29">
        <f t="shared" si="146"/>
        <v>46.392507420586426</v>
      </c>
      <c r="Q123" s="29"/>
      <c r="R123" s="29"/>
      <c r="S123" s="29"/>
      <c r="T123" s="29"/>
      <c r="U123" s="29"/>
      <c r="V123" s="29"/>
      <c r="W123" s="29"/>
      <c r="X123" s="29"/>
      <c r="Y123" s="29"/>
    </row>
    <row r="124" spans="10:25" x14ac:dyDescent="0.25">
      <c r="J124" t="s">
        <v>131</v>
      </c>
      <c r="L124" s="29">
        <f t="shared" ref="L124" si="147">L$89/(L123/3600)</f>
        <v>40.49699523335952</v>
      </c>
      <c r="M124" s="29">
        <f t="shared" ref="M124" si="148">M$89/(M123/3600)</f>
        <v>39.856865045637434</v>
      </c>
      <c r="N124" s="29">
        <f t="shared" ref="N124" si="149">N$89/(N123/3600)</f>
        <v>39.240139215767748</v>
      </c>
      <c r="O124" s="29">
        <f t="shared" ref="O124" si="150">O$89/(O123/3600)</f>
        <v>38.645539812475789</v>
      </c>
      <c r="P124" s="29">
        <f t="shared" ref="P124" si="151">P$89/(P123/3600)</f>
        <v>38.071880529917976</v>
      </c>
      <c r="Q124" s="29"/>
      <c r="R124" s="29"/>
      <c r="S124" s="29"/>
      <c r="T124" s="29"/>
      <c r="U124" s="29"/>
      <c r="V124" s="29"/>
      <c r="W124" s="29"/>
      <c r="X124" s="29"/>
      <c r="Y124" s="29"/>
    </row>
    <row r="125" spans="10:25" x14ac:dyDescent="0.25">
      <c r="J125" t="s">
        <v>133</v>
      </c>
      <c r="L125" s="29">
        <f t="shared" ref="L125" si="152">K125+L124</f>
        <v>40.49699523335952</v>
      </c>
      <c r="M125" s="29">
        <f t="shared" ref="M125" si="153">L125+M124</f>
        <v>80.353860278996962</v>
      </c>
      <c r="N125" s="29">
        <f t="shared" ref="N125" si="154">M125+N124</f>
        <v>119.59399949476472</v>
      </c>
      <c r="O125" s="29">
        <f t="shared" ref="O125" si="155">N125+O124</f>
        <v>158.23953930724051</v>
      </c>
      <c r="P125" s="29">
        <f t="shared" ref="P125" si="156">O125+P124</f>
        <v>196.3114198371585</v>
      </c>
      <c r="Q125" s="29"/>
      <c r="R125" s="29"/>
      <c r="S125" s="29"/>
      <c r="T125" s="29"/>
      <c r="U125" s="29"/>
      <c r="V125" s="29"/>
      <c r="W125" s="29"/>
      <c r="X125" s="29"/>
      <c r="Y125" s="29"/>
    </row>
    <row r="127" spans="10:25" x14ac:dyDescent="0.25">
      <c r="J127" t="s">
        <v>132</v>
      </c>
      <c r="L127" s="29">
        <f t="shared" ref="L127" si="157">L$90*3600</f>
        <v>88.610993640493902</v>
      </c>
      <c r="M127" s="29">
        <f t="shared" si="127"/>
        <v>89.311471715223831</v>
      </c>
      <c r="N127" s="29">
        <f t="shared" si="127"/>
        <v>90.007954902513234</v>
      </c>
      <c r="O127" s="29">
        <f t="shared" si="127"/>
        <v>90.700497874514454</v>
      </c>
      <c r="P127" s="29">
        <f t="shared" si="127"/>
        <v>91.389154124423015</v>
      </c>
      <c r="Q127" s="29">
        <f t="shared" si="127"/>
        <v>92.073975999969761</v>
      </c>
      <c r="R127" s="29"/>
      <c r="S127" s="29"/>
      <c r="T127" s="29"/>
      <c r="U127" s="29"/>
      <c r="V127" s="29"/>
      <c r="W127" s="29"/>
      <c r="X127" s="29"/>
      <c r="Y127" s="29"/>
    </row>
    <row r="128" spans="10:25" x14ac:dyDescent="0.25">
      <c r="J128" t="s">
        <v>128</v>
      </c>
      <c r="L128" s="29">
        <f>L127-$Q$95</f>
        <v>43.44423428371811</v>
      </c>
      <c r="M128" s="29">
        <f t="shared" ref="M128:Q128" si="158">M127-$Q$95</f>
        <v>44.144712358448039</v>
      </c>
      <c r="N128" s="29">
        <f t="shared" si="158"/>
        <v>44.841195545737442</v>
      </c>
      <c r="O128" s="29">
        <f t="shared" si="158"/>
        <v>45.533738517738662</v>
      </c>
      <c r="P128" s="29">
        <f t="shared" si="158"/>
        <v>46.222394767647224</v>
      </c>
      <c r="Q128" s="29">
        <f t="shared" si="158"/>
        <v>46.907216643193969</v>
      </c>
      <c r="R128" s="29"/>
      <c r="S128" s="29"/>
      <c r="T128" s="29"/>
      <c r="U128" s="29"/>
      <c r="V128" s="29"/>
      <c r="W128" s="29"/>
      <c r="X128" s="29"/>
      <c r="Y128" s="29"/>
    </row>
    <row r="129" spans="10:25" x14ac:dyDescent="0.25">
      <c r="J129" t="s">
        <v>131</v>
      </c>
      <c r="L129" s="29">
        <f t="shared" ref="L129" si="159">L$89/(L128/3600)</f>
        <v>40.655567513635503</v>
      </c>
      <c r="M129" s="29">
        <f t="shared" ref="M129" si="160">M$89/(M128/3600)</f>
        <v>40.010454381449598</v>
      </c>
      <c r="N129" s="29">
        <f t="shared" ref="N129" si="161">N$89/(N128/3600)</f>
        <v>39.389003315006335</v>
      </c>
      <c r="O129" s="29">
        <f t="shared" ref="O129" si="162">O$89/(O128/3600)</f>
        <v>38.789918365956673</v>
      </c>
      <c r="P129" s="29">
        <f t="shared" ref="P129" si="163">P$89/(P128/3600)</f>
        <v>38.211996779452107</v>
      </c>
      <c r="Q129" s="29">
        <f t="shared" ref="Q129" si="164">Q$89/(Q128/3600)</f>
        <v>37.65412076003394</v>
      </c>
      <c r="R129" s="29"/>
      <c r="S129" s="29"/>
      <c r="T129" s="29"/>
      <c r="U129" s="29"/>
      <c r="V129" s="29"/>
      <c r="W129" s="29"/>
      <c r="X129" s="29"/>
      <c r="Y129" s="29"/>
    </row>
    <row r="130" spans="10:25" x14ac:dyDescent="0.25">
      <c r="J130" t="s">
        <v>133</v>
      </c>
      <c r="L130" s="29">
        <f t="shared" ref="L130" si="165">K130+L129</f>
        <v>40.655567513635503</v>
      </c>
      <c r="M130" s="29">
        <f t="shared" ref="M130" si="166">L130+M129</f>
        <v>80.666021895085095</v>
      </c>
      <c r="N130" s="29">
        <f t="shared" ref="N130" si="167">M130+N129</f>
        <v>120.05502521009143</v>
      </c>
      <c r="O130" s="29">
        <f t="shared" ref="O130" si="168">N130+O129</f>
        <v>158.84494357604811</v>
      </c>
      <c r="P130" s="29">
        <f t="shared" ref="P130" si="169">O130+P129</f>
        <v>197.05694035550022</v>
      </c>
      <c r="Q130" s="29">
        <f t="shared" ref="Q130" si="170">P130+Q129</f>
        <v>234.71106111553416</v>
      </c>
      <c r="R130" s="29"/>
      <c r="S130" s="29"/>
      <c r="T130" s="29"/>
      <c r="U130" s="29"/>
      <c r="V130" s="29"/>
      <c r="W130" s="29"/>
      <c r="X130" s="29"/>
      <c r="Y130" s="29"/>
    </row>
    <row r="132" spans="10:25" x14ac:dyDescent="0.25">
      <c r="J132" t="s">
        <v>132</v>
      </c>
      <c r="L132" s="29">
        <f t="shared" ref="L132" si="171">L$90*3600</f>
        <v>88.610993640493902</v>
      </c>
      <c r="M132" s="29">
        <f t="shared" si="127"/>
        <v>89.311471715223831</v>
      </c>
      <c r="N132" s="29">
        <f t="shared" si="127"/>
        <v>90.007954902513234</v>
      </c>
      <c r="O132" s="29">
        <f t="shared" si="127"/>
        <v>90.700497874514454</v>
      </c>
      <c r="P132" s="29">
        <f t="shared" si="127"/>
        <v>91.389154124423015</v>
      </c>
      <c r="Q132" s="29">
        <f t="shared" si="127"/>
        <v>92.073975999969761</v>
      </c>
      <c r="R132" s="29">
        <f t="shared" si="127"/>
        <v>92.755014735687809</v>
      </c>
      <c r="S132" s="29"/>
      <c r="T132" s="29"/>
      <c r="U132" s="29"/>
      <c r="V132" s="29"/>
      <c r="W132" s="29"/>
      <c r="X132" s="29"/>
      <c r="Y132" s="29"/>
    </row>
    <row r="133" spans="10:25" x14ac:dyDescent="0.25">
      <c r="J133" t="s">
        <v>128</v>
      </c>
      <c r="L133" s="29">
        <f>L132-$R$95</f>
        <v>43.275155165786487</v>
      </c>
      <c r="M133" s="29">
        <f t="shared" ref="M133:R133" si="172">M132-$R$95</f>
        <v>43.975633240516416</v>
      </c>
      <c r="N133" s="29">
        <f t="shared" si="172"/>
        <v>44.672116427805818</v>
      </c>
      <c r="O133" s="29">
        <f t="shared" si="172"/>
        <v>45.364659399807039</v>
      </c>
      <c r="P133" s="29">
        <f t="shared" si="172"/>
        <v>46.0533156497156</v>
      </c>
      <c r="Q133" s="29">
        <f t="shared" si="172"/>
        <v>46.738137525262346</v>
      </c>
      <c r="R133" s="29">
        <f t="shared" si="172"/>
        <v>47.419176260980393</v>
      </c>
      <c r="S133" s="29"/>
      <c r="T133" s="29"/>
      <c r="U133" s="29"/>
      <c r="V133" s="29"/>
      <c r="W133" s="29"/>
      <c r="X133" s="29"/>
      <c r="Y133" s="29"/>
    </row>
    <row r="134" spans="10:25" x14ac:dyDescent="0.25">
      <c r="J134" t="s">
        <v>131</v>
      </c>
      <c r="L134" s="29">
        <f t="shared" ref="L134" si="173">L$89/(L133/3600)</f>
        <v>40.81441171576212</v>
      </c>
      <c r="M134" s="29">
        <f t="shared" ref="M134" si="174">M$89/(M133/3600)</f>
        <v>40.164288035142754</v>
      </c>
      <c r="N134" s="29">
        <f t="shared" ref="N134" si="175">N$89/(N133/3600)</f>
        <v>39.538086422529801</v>
      </c>
      <c r="O134" s="29">
        <f t="shared" ref="O134" si="176">O$89/(O133/3600)</f>
        <v>38.934492694712318</v>
      </c>
      <c r="P134" s="29">
        <f t="shared" ref="P134" si="177">P$89/(P133/3600)</f>
        <v>38.352287453830847</v>
      </c>
      <c r="Q134" s="29">
        <f t="shared" ref="Q134" si="178">Q$89/(Q133/3600)</f>
        <v>37.790337688257843</v>
      </c>
      <c r="R134" s="29">
        <f t="shared" ref="R134" si="179">R$89/(R133/3600)</f>
        <v>37.247589251213668</v>
      </c>
      <c r="S134" s="29"/>
      <c r="T134" s="29"/>
      <c r="U134" s="29"/>
      <c r="V134" s="29"/>
      <c r="W134" s="29"/>
      <c r="X134" s="29"/>
      <c r="Y134" s="29"/>
    </row>
    <row r="135" spans="10:25" x14ac:dyDescent="0.25">
      <c r="J135" t="s">
        <v>133</v>
      </c>
      <c r="L135" s="29">
        <f t="shared" ref="L135" si="180">K135+L134</f>
        <v>40.81441171576212</v>
      </c>
      <c r="M135" s="29">
        <f t="shared" ref="M135" si="181">L135+M134</f>
        <v>80.978699750904866</v>
      </c>
      <c r="N135" s="29">
        <f t="shared" ref="N135" si="182">M135+N134</f>
        <v>120.51678617343467</v>
      </c>
      <c r="O135" s="29">
        <f t="shared" ref="O135" si="183">N135+O134</f>
        <v>159.45127886814697</v>
      </c>
      <c r="P135" s="29">
        <f t="shared" ref="P135" si="184">O135+P134</f>
        <v>197.80356632197783</v>
      </c>
      <c r="Q135" s="29">
        <f t="shared" ref="Q135" si="185">P135+Q134</f>
        <v>235.59390401023566</v>
      </c>
      <c r="R135" s="29">
        <f t="shared" ref="R135" si="186">Q135+R134</f>
        <v>272.84149326144933</v>
      </c>
      <c r="S135" s="29"/>
      <c r="T135" s="29"/>
      <c r="U135" s="29"/>
      <c r="V135" s="29"/>
      <c r="W135" s="29"/>
      <c r="X135" s="29"/>
      <c r="Y135" s="29"/>
    </row>
    <row r="137" spans="10:25" x14ac:dyDescent="0.25">
      <c r="J137" t="s">
        <v>132</v>
      </c>
      <c r="L137" s="29">
        <f t="shared" ref="L137" si="187">L$90*3600</f>
        <v>88.610993640493902</v>
      </c>
      <c r="M137" s="29">
        <f t="shared" si="127"/>
        <v>89.311471715223831</v>
      </c>
      <c r="N137" s="29">
        <f t="shared" si="127"/>
        <v>90.007954902513234</v>
      </c>
      <c r="O137" s="29">
        <f t="shared" si="127"/>
        <v>90.700497874514454</v>
      </c>
      <c r="P137" s="29">
        <f t="shared" si="127"/>
        <v>91.389154124423015</v>
      </c>
      <c r="Q137" s="29">
        <f t="shared" si="127"/>
        <v>92.073975999969761</v>
      </c>
      <c r="R137" s="29">
        <f t="shared" si="127"/>
        <v>92.755014735687809</v>
      </c>
      <c r="S137" s="29">
        <f t="shared" si="127"/>
        <v>93.43232048400688</v>
      </c>
      <c r="T137" s="29"/>
      <c r="U137" s="29"/>
      <c r="V137" s="29"/>
      <c r="W137" s="29"/>
      <c r="X137" s="29"/>
      <c r="Y137" s="29"/>
    </row>
    <row r="138" spans="10:25" x14ac:dyDescent="0.25">
      <c r="J138" t="s">
        <v>128</v>
      </c>
      <c r="L138" s="29">
        <f>L137-$S$95</f>
        <v>43.10709226947305</v>
      </c>
      <c r="M138" s="29">
        <f t="shared" ref="M138:S138" si="188">M137-$S$95</f>
        <v>43.807570344202979</v>
      </c>
      <c r="N138" s="29">
        <f t="shared" si="188"/>
        <v>44.504053531492382</v>
      </c>
      <c r="O138" s="29">
        <f t="shared" si="188"/>
        <v>45.196596503493602</v>
      </c>
      <c r="P138" s="29">
        <f t="shared" si="188"/>
        <v>45.885252753402163</v>
      </c>
      <c r="Q138" s="29">
        <f t="shared" si="188"/>
        <v>46.570074628948909</v>
      </c>
      <c r="R138" s="29">
        <f t="shared" si="188"/>
        <v>47.251113364666956</v>
      </c>
      <c r="S138" s="29">
        <f t="shared" si="188"/>
        <v>47.928419112986028</v>
      </c>
      <c r="T138" s="29"/>
      <c r="U138" s="29"/>
      <c r="V138" s="29"/>
      <c r="W138" s="29"/>
      <c r="X138" s="29"/>
      <c r="Y138" s="29"/>
    </row>
    <row r="139" spans="10:25" x14ac:dyDescent="0.25">
      <c r="J139" t="s">
        <v>131</v>
      </c>
      <c r="L139" s="29">
        <f t="shared" ref="L139" si="189">L$89/(L138/3600)</f>
        <v>40.973536070552754</v>
      </c>
      <c r="M139" s="29">
        <f t="shared" ref="M139" si="190">M$89/(M138/3600)</f>
        <v>40.318373882007045</v>
      </c>
      <c r="N139" s="29">
        <f t="shared" ref="N139" si="191">N$89/(N138/3600)</f>
        <v>39.687396087415927</v>
      </c>
      <c r="O139" s="29">
        <f t="shared" ref="O139" si="192">O$89/(O138/3600)</f>
        <v>39.079270047765043</v>
      </c>
      <c r="P139" s="29">
        <f t="shared" ref="P139" si="193">P$89/(P138/3600)</f>
        <v>38.492759525421619</v>
      </c>
      <c r="Q139" s="29">
        <f t="shared" ref="Q139" si="194">Q$89/(Q138/3600)</f>
        <v>37.92671611700537</v>
      </c>
      <c r="R139" s="29">
        <f t="shared" ref="R139" si="195">R$89/(R138/3600)</f>
        <v>37.380071584104748</v>
      </c>
      <c r="S139" s="29">
        <f t="shared" ref="S139" si="196">S$89/(S138/3600)</f>
        <v>36.851830973939649</v>
      </c>
      <c r="T139" s="29"/>
      <c r="U139" s="29"/>
      <c r="V139" s="29"/>
      <c r="W139" s="29"/>
      <c r="X139" s="29"/>
      <c r="Y139" s="29"/>
    </row>
    <row r="140" spans="10:25" x14ac:dyDescent="0.25">
      <c r="J140" t="s">
        <v>133</v>
      </c>
      <c r="L140" s="29">
        <f t="shared" ref="L140" si="197">K140+L139</f>
        <v>40.973536070552754</v>
      </c>
      <c r="M140" s="29">
        <f t="shared" ref="M140" si="198">L140+M139</f>
        <v>81.291909952559791</v>
      </c>
      <c r="N140" s="29">
        <f t="shared" ref="N140" si="199">M140+N139</f>
        <v>120.97930603997571</v>
      </c>
      <c r="O140" s="29">
        <f t="shared" ref="O140" si="200">N140+O139</f>
        <v>160.05857608774076</v>
      </c>
      <c r="P140" s="29">
        <f t="shared" ref="P140" si="201">O140+P139</f>
        <v>198.55133561316239</v>
      </c>
      <c r="Q140" s="29">
        <f t="shared" ref="Q140" si="202">P140+Q139</f>
        <v>236.47805173016775</v>
      </c>
      <c r="R140" s="29">
        <f t="shared" ref="R140" si="203">Q140+R139</f>
        <v>273.85812331427252</v>
      </c>
      <c r="S140" s="29">
        <f t="shared" ref="S140" si="204">R140+S139</f>
        <v>310.70995428821215</v>
      </c>
      <c r="T140" s="29"/>
      <c r="U140" s="29"/>
      <c r="V140" s="29"/>
      <c r="W140" s="29"/>
      <c r="X140" s="29"/>
      <c r="Y140" s="29"/>
    </row>
    <row r="142" spans="10:25" x14ac:dyDescent="0.25">
      <c r="J142" t="s">
        <v>132</v>
      </c>
      <c r="L142" s="29">
        <f t="shared" ref="L142" si="205">L$90*3600</f>
        <v>88.610993640493902</v>
      </c>
      <c r="M142" s="29">
        <f t="shared" si="127"/>
        <v>89.311471715223831</v>
      </c>
      <c r="N142" s="29">
        <f t="shared" si="127"/>
        <v>90.007954902513234</v>
      </c>
      <c r="O142" s="29">
        <f t="shared" si="127"/>
        <v>90.700497874514454</v>
      </c>
      <c r="P142" s="29">
        <f t="shared" si="127"/>
        <v>91.389154124423015</v>
      </c>
      <c r="Q142" s="29">
        <f t="shared" si="127"/>
        <v>92.073975999969761</v>
      </c>
      <c r="R142" s="29">
        <f t="shared" si="127"/>
        <v>92.755014735687809</v>
      </c>
      <c r="S142" s="29">
        <f t="shared" si="127"/>
        <v>93.43232048400688</v>
      </c>
      <c r="T142" s="29">
        <f t="shared" si="127"/>
        <v>94.105942345225742</v>
      </c>
      <c r="U142" s="29"/>
      <c r="V142" s="29"/>
      <c r="W142" s="29"/>
      <c r="X142" s="29"/>
      <c r="Y142" s="29"/>
    </row>
    <row r="143" spans="10:25" x14ac:dyDescent="0.25">
      <c r="J143" t="s">
        <v>128</v>
      </c>
      <c r="L143" s="29">
        <f>L142-$T$95</f>
        <v>42.940028755144034</v>
      </c>
      <c r="M143" s="29">
        <f t="shared" ref="M143:T143" si="206">M142-$T$95</f>
        <v>43.640506829873964</v>
      </c>
      <c r="N143" s="29">
        <f t="shared" si="206"/>
        <v>44.336990017163366</v>
      </c>
      <c r="O143" s="29">
        <f t="shared" si="206"/>
        <v>45.029532989164586</v>
      </c>
      <c r="P143" s="29">
        <f t="shared" si="206"/>
        <v>45.718189239073148</v>
      </c>
      <c r="Q143" s="29">
        <f t="shared" si="206"/>
        <v>46.403011114619893</v>
      </c>
      <c r="R143" s="29">
        <f t="shared" si="206"/>
        <v>47.084049850337941</v>
      </c>
      <c r="S143" s="29">
        <f t="shared" si="206"/>
        <v>47.761355598657012</v>
      </c>
      <c r="T143" s="29">
        <f t="shared" si="206"/>
        <v>48.434977459875874</v>
      </c>
      <c r="U143" s="29"/>
      <c r="V143" s="29"/>
      <c r="W143" s="29"/>
      <c r="X143" s="29"/>
      <c r="Y143" s="29"/>
    </row>
    <row r="144" spans="10:25" x14ac:dyDescent="0.25">
      <c r="J144" t="s">
        <v>131</v>
      </c>
      <c r="L144" s="29">
        <f t="shared" ref="L144" si="207">L$89/(L143/3600)</f>
        <v>41.13294870088577</v>
      </c>
      <c r="M144" s="29">
        <f t="shared" ref="M144" si="208">M$89/(M143/3600)</f>
        <v>40.472719688736959</v>
      </c>
      <c r="N144" s="29">
        <f t="shared" ref="N144" si="209">N$89/(N143/3600)</f>
        <v>39.836939749770195</v>
      </c>
      <c r="O144" s="29">
        <f t="shared" ref="O144" si="210">O$89/(O143/3600)</f>
        <v>39.224257565027621</v>
      </c>
      <c r="P144" s="29">
        <f t="shared" ref="P144" si="211">P$89/(P143/3600)</f>
        <v>38.63341985754699</v>
      </c>
      <c r="Q144" s="29">
        <f t="shared" ref="Q144" si="212">Q$89/(Q143/3600)</f>
        <v>38.063262654164674</v>
      </c>
      <c r="R144" s="29">
        <f t="shared" ref="R144" si="213">R$89/(R143/3600)</f>
        <v>37.512703465698635</v>
      </c>
      <c r="S144" s="29">
        <f t="shared" ref="S144" si="214">S$89/(S143/3600)</f>
        <v>36.980734274836294</v>
      </c>
      <c r="T144" s="29">
        <f t="shared" ref="T144" si="215">T$89/(T143/3600)</f>
        <v>36.466415236036447</v>
      </c>
      <c r="U144" s="29"/>
      <c r="V144" s="29"/>
      <c r="W144" s="29"/>
      <c r="X144" s="29"/>
      <c r="Y144" s="29"/>
    </row>
    <row r="145" spans="10:25" x14ac:dyDescent="0.25">
      <c r="J145" t="s">
        <v>133</v>
      </c>
      <c r="L145" s="29">
        <f t="shared" ref="L145" si="216">K145+L144</f>
        <v>41.13294870088577</v>
      </c>
      <c r="M145" s="29">
        <f t="shared" ref="M145" si="217">L145+M144</f>
        <v>81.605668389622736</v>
      </c>
      <c r="N145" s="29">
        <f t="shared" ref="N145" si="218">M145+N144</f>
        <v>121.44260813939293</v>
      </c>
      <c r="O145" s="29">
        <f t="shared" ref="O145" si="219">N145+O144</f>
        <v>160.66686570442056</v>
      </c>
      <c r="P145" s="29">
        <f t="shared" ref="P145" si="220">O145+P144</f>
        <v>199.30028556196754</v>
      </c>
      <c r="Q145" s="29">
        <f t="shared" ref="Q145" si="221">P145+Q144</f>
        <v>237.36354821613222</v>
      </c>
      <c r="R145" s="29">
        <f t="shared" ref="R145" si="222">Q145+R144</f>
        <v>274.87625168183087</v>
      </c>
      <c r="S145" s="29">
        <f t="shared" ref="S145" si="223">R145+S144</f>
        <v>311.85698595666713</v>
      </c>
      <c r="T145" s="29">
        <f t="shared" ref="T145" si="224">S145+T144</f>
        <v>348.32340119270356</v>
      </c>
      <c r="U145" s="29"/>
      <c r="V145" s="29"/>
      <c r="W145" s="29"/>
      <c r="X145" s="29"/>
      <c r="Y145" s="29"/>
    </row>
    <row r="147" spans="10:25" x14ac:dyDescent="0.25">
      <c r="J147" t="s">
        <v>132</v>
      </c>
      <c r="L147" s="29">
        <f t="shared" ref="L147:Y167" si="225">L$90*3600</f>
        <v>88.610993640493902</v>
      </c>
      <c r="M147" s="29">
        <f t="shared" si="225"/>
        <v>89.311471715223831</v>
      </c>
      <c r="N147" s="29">
        <f t="shared" si="225"/>
        <v>90.007954902513234</v>
      </c>
      <c r="O147" s="29">
        <f t="shared" si="225"/>
        <v>90.700497874514454</v>
      </c>
      <c r="P147" s="29">
        <f t="shared" si="225"/>
        <v>91.389154124423015</v>
      </c>
      <c r="Q147" s="29">
        <f t="shared" si="225"/>
        <v>92.073975999969761</v>
      </c>
      <c r="R147" s="29">
        <f t="shared" si="225"/>
        <v>92.755014735687809</v>
      </c>
      <c r="S147" s="29">
        <f t="shared" si="225"/>
        <v>93.43232048400688</v>
      </c>
      <c r="T147" s="29">
        <f t="shared" si="225"/>
        <v>94.105942345225742</v>
      </c>
      <c r="U147" s="29">
        <f t="shared" si="225"/>
        <v>94.775928396410848</v>
      </c>
      <c r="V147" s="29"/>
      <c r="W147" s="29"/>
      <c r="X147" s="29"/>
      <c r="Y147" s="29"/>
    </row>
    <row r="148" spans="10:25" x14ac:dyDescent="0.25">
      <c r="J148" t="s">
        <v>128</v>
      </c>
      <c r="L148" s="29">
        <f>L147-$U$95</f>
        <v>42.773948239154258</v>
      </c>
      <c r="M148" s="29">
        <f t="shared" ref="M148:U148" si="226">M147-$U$95</f>
        <v>43.474426313884187</v>
      </c>
      <c r="N148" s="29">
        <f t="shared" si="226"/>
        <v>44.17090950117359</v>
      </c>
      <c r="O148" s="29">
        <f t="shared" si="226"/>
        <v>44.86345247317481</v>
      </c>
      <c r="P148" s="29">
        <f t="shared" si="226"/>
        <v>45.552108723083371</v>
      </c>
      <c r="Q148" s="29">
        <f t="shared" si="226"/>
        <v>46.236930598630117</v>
      </c>
      <c r="R148" s="29">
        <f t="shared" si="226"/>
        <v>46.917969334348165</v>
      </c>
      <c r="S148" s="29">
        <f t="shared" si="226"/>
        <v>47.595275082667236</v>
      </c>
      <c r="T148" s="29">
        <f t="shared" si="226"/>
        <v>48.268896943886098</v>
      </c>
      <c r="U148" s="29">
        <f t="shared" si="226"/>
        <v>48.938882995071204</v>
      </c>
      <c r="V148" s="29"/>
      <c r="W148" s="29"/>
      <c r="X148" s="29"/>
      <c r="Y148" s="29"/>
    </row>
    <row r="149" spans="10:25" x14ac:dyDescent="0.25">
      <c r="J149" t="s">
        <v>131</v>
      </c>
      <c r="L149" s="29">
        <f t="shared" ref="L149" si="227">L$89/(L148/3600)</f>
        <v>41.292657627128193</v>
      </c>
      <c r="M149" s="29">
        <f t="shared" ref="M149" si="228">M$89/(M148/3600)</f>
        <v>40.627333118731052</v>
      </c>
      <c r="N149" s="29">
        <f t="shared" ref="N149" si="229">N$89/(N148/3600)</f>
        <v>39.986724745909328</v>
      </c>
      <c r="O149" s="29">
        <f t="shared" ref="O149" si="230">O$89/(O148/3600)</f>
        <v>39.36946228237769</v>
      </c>
      <c r="P149" s="29">
        <f t="shared" ref="P149" si="231">P$89/(P148/3600)</f>
        <v>38.774275209456079</v>
      </c>
      <c r="Q149" s="29">
        <f t="shared" ref="Q149" si="232">Q$89/(Q148/3600)</f>
        <v>38.19998380368763</v>
      </c>
      <c r="R149" s="29">
        <f t="shared" ref="R149" si="233">R$89/(R148/3600)</f>
        <v>37.645491163805467</v>
      </c>
      <c r="S149" s="29">
        <f t="shared" ref="S149" si="234">S$89/(S148/3600)</f>
        <v>37.109776063530191</v>
      </c>
      <c r="T149" s="29">
        <f t="shared" ref="T149" si="235">T$89/(T148/3600)</f>
        <v>36.591886532091529</v>
      </c>
      <c r="U149" s="29">
        <f t="shared" ref="U149" si="236">U$89/(U148/3600)</f>
        <v>36.090934077465242</v>
      </c>
      <c r="V149" s="29"/>
      <c r="W149" s="29"/>
      <c r="X149" s="29"/>
      <c r="Y149" s="29"/>
    </row>
    <row r="150" spans="10:25" x14ac:dyDescent="0.25">
      <c r="J150" t="s">
        <v>133</v>
      </c>
      <c r="L150" s="29">
        <f t="shared" ref="L150" si="237">K150+L149</f>
        <v>41.292657627128193</v>
      </c>
      <c r="M150" s="29">
        <f t="shared" ref="M150" si="238">L150+M149</f>
        <v>81.919990745859252</v>
      </c>
      <c r="N150" s="29">
        <f t="shared" ref="N150" si="239">M150+N149</f>
        <v>121.90671549176858</v>
      </c>
      <c r="O150" s="29">
        <f t="shared" ref="O150" si="240">N150+O149</f>
        <v>161.27617777414628</v>
      </c>
      <c r="P150" s="29">
        <f t="shared" ref="P150" si="241">O150+P149</f>
        <v>200.05045298360236</v>
      </c>
      <c r="Q150" s="29">
        <f t="shared" ref="Q150" si="242">P150+Q149</f>
        <v>238.25043678728997</v>
      </c>
      <c r="R150" s="29">
        <f t="shared" ref="R150" si="243">Q150+R149</f>
        <v>275.89592795109542</v>
      </c>
      <c r="S150" s="29">
        <f t="shared" ref="S150" si="244">R150+S149</f>
        <v>313.00570401462562</v>
      </c>
      <c r="T150" s="29">
        <f t="shared" ref="T150" si="245">S150+T149</f>
        <v>349.59759054671713</v>
      </c>
      <c r="U150" s="29">
        <f t="shared" ref="U150" si="246">T150+U149</f>
        <v>385.68852462418238</v>
      </c>
      <c r="V150" s="29"/>
      <c r="W150" s="29"/>
      <c r="X150" s="29"/>
      <c r="Y150" s="29"/>
    </row>
    <row r="152" spans="10:25" x14ac:dyDescent="0.25">
      <c r="J152" t="s">
        <v>132</v>
      </c>
      <c r="L152" s="29">
        <f t="shared" ref="L152" si="247">L$90*3600</f>
        <v>88.610993640493902</v>
      </c>
      <c r="M152" s="29">
        <f t="shared" si="225"/>
        <v>89.311471715223831</v>
      </c>
      <c r="N152" s="29">
        <f t="shared" si="225"/>
        <v>90.007954902513234</v>
      </c>
      <c r="O152" s="29">
        <f t="shared" si="225"/>
        <v>90.700497874514454</v>
      </c>
      <c r="P152" s="29">
        <f t="shared" si="225"/>
        <v>91.389154124423015</v>
      </c>
      <c r="Q152" s="29">
        <f t="shared" si="225"/>
        <v>92.073975999969761</v>
      </c>
      <c r="R152" s="29">
        <f t="shared" si="225"/>
        <v>92.755014735687809</v>
      </c>
      <c r="S152" s="29">
        <f t="shared" si="225"/>
        <v>93.43232048400688</v>
      </c>
      <c r="T152" s="29">
        <f t="shared" si="225"/>
        <v>94.105942345225742</v>
      </c>
      <c r="U152" s="29">
        <f t="shared" si="225"/>
        <v>94.775928396410848</v>
      </c>
      <c r="V152" s="29">
        <f t="shared" si="225"/>
        <v>95.442325719266421</v>
      </c>
      <c r="W152" s="29"/>
      <c r="X152" s="29"/>
      <c r="Y152" s="29"/>
    </row>
    <row r="153" spans="10:25" x14ac:dyDescent="0.25">
      <c r="J153" t="s">
        <v>128</v>
      </c>
      <c r="L153" s="29">
        <f>L152-$V$95</f>
        <v>42.608834776926763</v>
      </c>
      <c r="M153" s="29">
        <f t="shared" ref="M153:V153" si="248">M152-$V$95</f>
        <v>43.309312851656692</v>
      </c>
      <c r="N153" s="29">
        <f t="shared" si="248"/>
        <v>44.005796038946094</v>
      </c>
      <c r="O153" s="29">
        <f t="shared" si="248"/>
        <v>44.698339010947315</v>
      </c>
      <c r="P153" s="29">
        <f t="shared" si="248"/>
        <v>45.386995260855876</v>
      </c>
      <c r="Q153" s="29">
        <f t="shared" si="248"/>
        <v>46.071817136402622</v>
      </c>
      <c r="R153" s="29">
        <f t="shared" si="248"/>
        <v>46.752855872120669</v>
      </c>
      <c r="S153" s="29">
        <f t="shared" si="248"/>
        <v>47.43016162043974</v>
      </c>
      <c r="T153" s="29">
        <f t="shared" si="248"/>
        <v>48.103783481658603</v>
      </c>
      <c r="U153" s="29">
        <f t="shared" si="248"/>
        <v>48.773769532843708</v>
      </c>
      <c r="V153" s="29">
        <f t="shared" si="248"/>
        <v>49.440166855699282</v>
      </c>
      <c r="W153" s="29"/>
      <c r="X153" s="29"/>
      <c r="Y153" s="29"/>
    </row>
    <row r="154" spans="10:25" x14ac:dyDescent="0.25">
      <c r="J154" t="s">
        <v>131</v>
      </c>
      <c r="L154" s="29">
        <f t="shared" ref="L154" si="249">L$89/(L153/3600)</f>
        <v>41.452670772314733</v>
      </c>
      <c r="M154" s="29">
        <f t="shared" ref="M154" si="250">M$89/(M153/3600)</f>
        <v>40.782221737150834</v>
      </c>
      <c r="N154" s="29">
        <f t="shared" ref="N154" si="251">N$89/(N153/3600)</f>
        <v>40.136758313307858</v>
      </c>
      <c r="O154" s="29">
        <f t="shared" ref="O154" si="252">O$89/(O153/3600)</f>
        <v>39.514891136498782</v>
      </c>
      <c r="P154" s="29">
        <f t="shared" ref="P154" si="253">P$89/(P153/3600)</f>
        <v>38.915332241066118</v>
      </c>
      <c r="Q154" s="29">
        <f t="shared" ref="Q154" si="254">Q$89/(Q153/3600)</f>
        <v>38.336885970237461</v>
      </c>
      <c r="R154" s="29">
        <f t="shared" ref="R154" si="255">R$89/(R153/3600)</f>
        <v>37.778440847142711</v>
      </c>
      <c r="S154" s="29">
        <f t="shared" ref="S154" si="256">S$89/(S153/3600)</f>
        <v>37.238962290163158</v>
      </c>
      <c r="T154" s="29">
        <f t="shared" ref="T154" si="257">T$89/(T153/3600)</f>
        <v>36.717486072033182</v>
      </c>
      <c r="U154" s="29">
        <f t="shared" ref="U154" si="258">U$89/(U153/3600)</f>
        <v>36.213112435579269</v>
      </c>
      <c r="V154" s="29">
        <f t="shared" ref="V154" si="259">V$89/(V153/3600)</f>
        <v>35.725000790451269</v>
      </c>
      <c r="W154" s="29"/>
      <c r="X154" s="29"/>
      <c r="Y154" s="29"/>
    </row>
    <row r="155" spans="10:25" x14ac:dyDescent="0.25">
      <c r="J155" t="s">
        <v>133</v>
      </c>
      <c r="L155" s="29">
        <f t="shared" ref="L155" si="260">K155+L154</f>
        <v>41.452670772314733</v>
      </c>
      <c r="M155" s="29">
        <f t="shared" ref="M155" si="261">L155+M154</f>
        <v>82.234892509465567</v>
      </c>
      <c r="N155" s="29">
        <f t="shared" ref="N155" si="262">M155+N154</f>
        <v>122.37165082277343</v>
      </c>
      <c r="O155" s="29">
        <f t="shared" ref="O155" si="263">N155+O154</f>
        <v>161.88654195927222</v>
      </c>
      <c r="P155" s="29">
        <f t="shared" ref="P155" si="264">O155+P154</f>
        <v>200.80187420033835</v>
      </c>
      <c r="Q155" s="29">
        <f t="shared" ref="Q155" si="265">P155+Q154</f>
        <v>239.13876017057581</v>
      </c>
      <c r="R155" s="29">
        <f t="shared" ref="R155" si="266">Q155+R154</f>
        <v>276.91720101771853</v>
      </c>
      <c r="S155" s="29">
        <f t="shared" ref="S155" si="267">R155+S154</f>
        <v>314.15616330788168</v>
      </c>
      <c r="T155" s="29">
        <f t="shared" ref="T155" si="268">S155+T154</f>
        <v>350.87364937991487</v>
      </c>
      <c r="U155" s="29">
        <f t="shared" ref="U155" si="269">T155+U154</f>
        <v>387.08676181549413</v>
      </c>
      <c r="V155" s="29">
        <f t="shared" ref="V155" si="270">U155+V154</f>
        <v>422.81176260594538</v>
      </c>
      <c r="W155" s="29"/>
      <c r="X155" s="29"/>
      <c r="Y155" s="29"/>
    </row>
    <row r="157" spans="10:25" x14ac:dyDescent="0.25">
      <c r="J157" t="s">
        <v>132</v>
      </c>
      <c r="L157" s="29">
        <f t="shared" ref="L157" si="271">L$90*3600</f>
        <v>88.610993640493902</v>
      </c>
      <c r="M157" s="29">
        <f t="shared" si="225"/>
        <v>89.311471715223831</v>
      </c>
      <c r="N157" s="29">
        <f t="shared" si="225"/>
        <v>90.007954902513234</v>
      </c>
      <c r="O157" s="29">
        <f t="shared" si="225"/>
        <v>90.700497874514454</v>
      </c>
      <c r="P157" s="29">
        <f t="shared" si="225"/>
        <v>91.389154124423015</v>
      </c>
      <c r="Q157" s="29">
        <f t="shared" si="225"/>
        <v>92.073975999969761</v>
      </c>
      <c r="R157" s="29">
        <f t="shared" si="225"/>
        <v>92.755014735687809</v>
      </c>
      <c r="S157" s="29">
        <f t="shared" si="225"/>
        <v>93.43232048400688</v>
      </c>
      <c r="T157" s="29">
        <f t="shared" si="225"/>
        <v>94.105942345225742</v>
      </c>
      <c r="U157" s="29">
        <f t="shared" si="225"/>
        <v>94.775928396410848</v>
      </c>
      <c r="V157" s="29">
        <f t="shared" si="225"/>
        <v>95.442325719266421</v>
      </c>
      <c r="W157" s="29">
        <f t="shared" si="225"/>
        <v>96.105180427019562</v>
      </c>
      <c r="X157" s="29"/>
      <c r="Y157" s="29"/>
    </row>
    <row r="158" spans="10:25" x14ac:dyDescent="0.25">
      <c r="J158" t="s">
        <v>128</v>
      </c>
      <c r="L158" s="29">
        <f>L157-$W$95</f>
        <v>42.444672846830599</v>
      </c>
      <c r="M158" s="29">
        <f t="shared" ref="M158:W158" si="272">M157-$W$95</f>
        <v>43.145150921560528</v>
      </c>
      <c r="N158" s="29">
        <f t="shared" si="272"/>
        <v>43.841634108849931</v>
      </c>
      <c r="O158" s="29">
        <f t="shared" si="272"/>
        <v>44.534177080851151</v>
      </c>
      <c r="P158" s="29">
        <f t="shared" si="272"/>
        <v>45.222833330759713</v>
      </c>
      <c r="Q158" s="29">
        <f t="shared" si="272"/>
        <v>45.907655206306458</v>
      </c>
      <c r="R158" s="29">
        <f t="shared" si="272"/>
        <v>46.588693942024506</v>
      </c>
      <c r="S158" s="29">
        <f t="shared" si="272"/>
        <v>47.265999690343577</v>
      </c>
      <c r="T158" s="29">
        <f t="shared" si="272"/>
        <v>47.939621551562439</v>
      </c>
      <c r="U158" s="29">
        <f t="shared" si="272"/>
        <v>48.609607602747545</v>
      </c>
      <c r="V158" s="29">
        <f t="shared" si="272"/>
        <v>49.276004925603118</v>
      </c>
      <c r="W158" s="29">
        <f t="shared" si="272"/>
        <v>49.938859633356259</v>
      </c>
      <c r="X158" s="29"/>
      <c r="Y158" s="29"/>
    </row>
    <row r="159" spans="10:25" x14ac:dyDescent="0.25">
      <c r="J159" t="s">
        <v>131</v>
      </c>
      <c r="L159" s="29">
        <f t="shared" ref="L159" si="273">L$89/(L158/3600)</f>
        <v>41.612995967096673</v>
      </c>
      <c r="M159" s="29">
        <f t="shared" ref="M159" si="274">M$89/(M158/3600)</f>
        <v>40.937393015752967</v>
      </c>
      <c r="N159" s="29">
        <f t="shared" ref="N159" si="275">N$89/(N158/3600)</f>
        <v>40.287047595321312</v>
      </c>
      <c r="O159" s="29">
        <f t="shared" ref="O159" si="276">O$89/(O158/3600)</f>
        <v>39.660550969501436</v>
      </c>
      <c r="P159" s="29">
        <f t="shared" ref="P159" si="277">P$89/(P158/3600)</f>
        <v>39.056597517487475</v>
      </c>
      <c r="Q159" s="29">
        <f t="shared" ref="Q159" si="278">Q$89/(Q158/3600)</f>
        <v>38.473975463623006</v>
      </c>
      <c r="R159" s="29">
        <f t="shared" ref="R159" si="279">R$89/(R158/3600)</f>
        <v>37.911558589683601</v>
      </c>
      <c r="S159" s="29">
        <f t="shared" ref="S159" si="280">S$89/(S158/3600)</f>
        <v>37.368298810376025</v>
      </c>
      <c r="T159" s="29">
        <f t="shared" ref="T159" si="281">T$89/(T158/3600)</f>
        <v>36.843219508943626</v>
      </c>
      <c r="U159" s="29">
        <f t="shared" ref="U159" si="282">U$89/(U158/3600)</f>
        <v>36.335409543607724</v>
      </c>
      <c r="V159" s="29">
        <f t="shared" ref="V159" si="283">V$89/(V158/3600)</f>
        <v>35.844017847359638</v>
      </c>
      <c r="W159" s="29">
        <f t="shared" ref="W159" si="284">W$89/(W158/3600)</f>
        <v>35.368248553680374</v>
      </c>
      <c r="X159" s="29"/>
      <c r="Y159" s="29"/>
    </row>
    <row r="160" spans="10:25" x14ac:dyDescent="0.25">
      <c r="J160" t="s">
        <v>133</v>
      </c>
      <c r="L160" s="29">
        <f t="shared" ref="L160" si="285">K160+L159</f>
        <v>41.612995967096673</v>
      </c>
      <c r="M160" s="29">
        <f t="shared" ref="M160" si="286">L160+M159</f>
        <v>82.55038898284964</v>
      </c>
      <c r="N160" s="29">
        <f t="shared" ref="N160" si="287">M160+N159</f>
        <v>122.83743657817095</v>
      </c>
      <c r="O160" s="29">
        <f t="shared" ref="O160" si="288">N160+O159</f>
        <v>162.49798754767238</v>
      </c>
      <c r="P160" s="29">
        <f t="shared" ref="P160" si="289">O160+P159</f>
        <v>201.55458506515987</v>
      </c>
      <c r="Q160" s="29">
        <f t="shared" ref="Q160" si="290">P160+Q159</f>
        <v>240.02856052878286</v>
      </c>
      <c r="R160" s="29">
        <f t="shared" ref="R160" si="291">Q160+R159</f>
        <v>277.94011911846644</v>
      </c>
      <c r="S160" s="29">
        <f t="shared" ref="S160" si="292">R160+S159</f>
        <v>315.30841792884246</v>
      </c>
      <c r="T160" s="29">
        <f t="shared" ref="T160" si="293">S160+T159</f>
        <v>352.15163743778606</v>
      </c>
      <c r="U160" s="29">
        <f t="shared" ref="U160" si="294">T160+U159</f>
        <v>388.4870469813938</v>
      </c>
      <c r="V160" s="29">
        <f t="shared" ref="V160" si="295">U160+V159</f>
        <v>424.33106482875343</v>
      </c>
      <c r="W160" s="29">
        <f t="shared" ref="W160" si="296">V160+W159</f>
        <v>459.69931338243379</v>
      </c>
      <c r="X160" s="29"/>
      <c r="Y160" s="29"/>
    </row>
    <row r="162" spans="10:25" x14ac:dyDescent="0.25">
      <c r="J162" t="s">
        <v>132</v>
      </c>
      <c r="L162" s="29">
        <f t="shared" ref="L162" si="297">L$90*3600</f>
        <v>88.610993640493902</v>
      </c>
      <c r="M162" s="29">
        <f t="shared" si="225"/>
        <v>89.311471715223831</v>
      </c>
      <c r="N162" s="29">
        <f t="shared" si="225"/>
        <v>90.007954902513234</v>
      </c>
      <c r="O162" s="29">
        <f t="shared" si="225"/>
        <v>90.700497874514454</v>
      </c>
      <c r="P162" s="29">
        <f t="shared" si="225"/>
        <v>91.389154124423015</v>
      </c>
      <c r="Q162" s="29">
        <f t="shared" si="225"/>
        <v>92.073975999969761</v>
      </c>
      <c r="R162" s="29">
        <f t="shared" si="225"/>
        <v>92.755014735687809</v>
      </c>
      <c r="S162" s="29">
        <f t="shared" si="225"/>
        <v>93.43232048400688</v>
      </c>
      <c r="T162" s="29">
        <f t="shared" si="225"/>
        <v>94.105942345225742</v>
      </c>
      <c r="U162" s="29">
        <f t="shared" si="225"/>
        <v>94.775928396410848</v>
      </c>
      <c r="V162" s="29">
        <f t="shared" si="225"/>
        <v>95.442325719266421</v>
      </c>
      <c r="W162" s="29">
        <f t="shared" si="225"/>
        <v>96.105180427019562</v>
      </c>
      <c r="X162" s="29">
        <f t="shared" si="225"/>
        <v>96.764537690361635</v>
      </c>
      <c r="Y162" s="29"/>
    </row>
    <row r="163" spans="10:25" x14ac:dyDescent="0.25">
      <c r="J163" t="s">
        <v>128</v>
      </c>
      <c r="L163" s="29">
        <f>L162-$X$95</f>
        <v>42.281447334811403</v>
      </c>
      <c r="M163" s="29">
        <f t="shared" ref="M163:X163" si="298">M162-$X$95</f>
        <v>42.981925409541333</v>
      </c>
      <c r="N163" s="29">
        <f t="shared" si="298"/>
        <v>43.678408596830735</v>
      </c>
      <c r="O163" s="29">
        <f t="shared" si="298"/>
        <v>44.370951568831956</v>
      </c>
      <c r="P163" s="29">
        <f t="shared" si="298"/>
        <v>45.059607818740517</v>
      </c>
      <c r="Q163" s="29">
        <f t="shared" si="298"/>
        <v>45.744429694287263</v>
      </c>
      <c r="R163" s="29">
        <f t="shared" si="298"/>
        <v>46.42546843000531</v>
      </c>
      <c r="S163" s="29">
        <f t="shared" si="298"/>
        <v>47.102774178324381</v>
      </c>
      <c r="T163" s="29">
        <f t="shared" si="298"/>
        <v>47.776396039543243</v>
      </c>
      <c r="U163" s="29">
        <f t="shared" si="298"/>
        <v>48.446382090728349</v>
      </c>
      <c r="V163" s="29">
        <f t="shared" si="298"/>
        <v>49.112779413583922</v>
      </c>
      <c r="W163" s="29">
        <f t="shared" si="298"/>
        <v>49.775634121337063</v>
      </c>
      <c r="X163" s="29">
        <f t="shared" si="298"/>
        <v>50.434991384679137</v>
      </c>
      <c r="Y163" s="29"/>
    </row>
    <row r="164" spans="10:25" x14ac:dyDescent="0.25">
      <c r="J164" t="s">
        <v>131</v>
      </c>
      <c r="L164" s="29">
        <f t="shared" ref="L164" si="299">L$89/(L163/3600)</f>
        <v>41.773640954473677</v>
      </c>
      <c r="M164" s="29">
        <f t="shared" ref="M164" si="300">M$89/(M163/3600)</f>
        <v>41.092854337507625</v>
      </c>
      <c r="N164" s="29">
        <f t="shared" ref="N164" si="301">N$89/(N163/3600)</f>
        <v>40.437599645699017</v>
      </c>
      <c r="O164" s="29">
        <f t="shared" ref="O164" si="302">O$89/(O163/3600)</f>
        <v>39.80644853333704</v>
      </c>
      <c r="P164" s="29">
        <f t="shared" ref="P164" si="303">P$89/(P163/3600)</f>
        <v>39.198077513344607</v>
      </c>
      <c r="Q164" s="29">
        <f t="shared" ref="Q164" si="304">Q$89/(Q163/3600)</f>
        <v>38.611258503032019</v>
      </c>
      <c r="R164" s="29">
        <f t="shared" ref="R164" si="305">R$89/(R163/3600)</f>
        <v>38.04485037480746</v>
      </c>
      <c r="S164" s="29">
        <f t="shared" ref="S164" si="306">S$89/(S163/3600)</f>
        <v>37.49779138938036</v>
      </c>
      <c r="T164" s="29">
        <f t="shared" ref="T164" si="307">T$89/(T163/3600)</f>
        <v>36.969092405756633</v>
      </c>
      <c r="U164" s="29">
        <f t="shared" ref="U164" si="308">U$89/(U163/3600)</f>
        <v>36.457830776550885</v>
      </c>
      <c r="V164" s="29">
        <f t="shared" ref="V164" si="309">V$89/(V163/3600)</f>
        <v>35.963144849248323</v>
      </c>
      <c r="W164" s="29">
        <f t="shared" ref="W164" si="310">W$89/(W163/3600)</f>
        <v>35.484229004382897</v>
      </c>
      <c r="X164" s="29">
        <f t="shared" ref="X164" si="311">X$89/(X163/3600)</f>
        <v>35.020329170442594</v>
      </c>
      <c r="Y164" s="29"/>
    </row>
    <row r="165" spans="10:25" x14ac:dyDescent="0.25">
      <c r="J165" t="s">
        <v>133</v>
      </c>
      <c r="L165" s="29">
        <f t="shared" ref="L165" si="312">K165+L164</f>
        <v>41.773640954473677</v>
      </c>
      <c r="M165" s="29">
        <f t="shared" ref="M165" si="313">L165+M164</f>
        <v>82.866495291981295</v>
      </c>
      <c r="N165" s="29">
        <f t="shared" ref="N165" si="314">M165+N164</f>
        <v>123.3040949376803</v>
      </c>
      <c r="O165" s="29">
        <f t="shared" ref="O165" si="315">N165+O164</f>
        <v>163.11054347101734</v>
      </c>
      <c r="P165" s="29">
        <f t="shared" ref="P165" si="316">O165+P164</f>
        <v>202.30862098436194</v>
      </c>
      <c r="Q165" s="29">
        <f t="shared" ref="Q165" si="317">P165+Q164</f>
        <v>240.91987948739396</v>
      </c>
      <c r="R165" s="29">
        <f t="shared" ref="R165" si="318">Q165+R164</f>
        <v>278.96472986220141</v>
      </c>
      <c r="S165" s="29">
        <f t="shared" ref="S165" si="319">R165+S164</f>
        <v>316.46252125158179</v>
      </c>
      <c r="T165" s="29">
        <f t="shared" ref="T165" si="320">S165+T164</f>
        <v>353.4316136573384</v>
      </c>
      <c r="U165" s="29">
        <f t="shared" ref="U165" si="321">T165+U164</f>
        <v>389.88944443388931</v>
      </c>
      <c r="V165" s="29">
        <f t="shared" ref="V165" si="322">U165+V164</f>
        <v>425.8525892831376</v>
      </c>
      <c r="W165" s="29">
        <f t="shared" ref="W165" si="323">V165+W164</f>
        <v>461.33681828752049</v>
      </c>
      <c r="X165" s="29">
        <f t="shared" ref="X165" si="324">W165+X164</f>
        <v>496.35714745796309</v>
      </c>
      <c r="Y165" s="29"/>
    </row>
    <row r="167" spans="10:25" x14ac:dyDescent="0.25">
      <c r="J167" t="s">
        <v>132</v>
      </c>
      <c r="L167" s="29">
        <f t="shared" ref="L167" si="325">L$90*3600</f>
        <v>88.610993640493902</v>
      </c>
      <c r="M167" s="29">
        <f t="shared" si="225"/>
        <v>89.311471715223831</v>
      </c>
      <c r="N167" s="29">
        <f t="shared" si="225"/>
        <v>90.007954902513234</v>
      </c>
      <c r="O167" s="29">
        <f t="shared" si="225"/>
        <v>90.700497874514454</v>
      </c>
      <c r="P167" s="29">
        <f t="shared" si="225"/>
        <v>91.389154124423015</v>
      </c>
      <c r="Q167" s="29">
        <f t="shared" si="225"/>
        <v>92.073975999969761</v>
      </c>
      <c r="R167" s="29">
        <f t="shared" si="225"/>
        <v>92.755014735687809</v>
      </c>
      <c r="S167" s="29">
        <f t="shared" si="225"/>
        <v>93.43232048400688</v>
      </c>
      <c r="T167" s="29">
        <f t="shared" si="225"/>
        <v>94.105942345225742</v>
      </c>
      <c r="U167" s="29">
        <f t="shared" si="225"/>
        <v>94.775928396410848</v>
      </c>
      <c r="V167" s="29">
        <f t="shared" si="225"/>
        <v>95.442325719266421</v>
      </c>
      <c r="W167" s="29">
        <f t="shared" si="225"/>
        <v>96.105180427019562</v>
      </c>
      <c r="X167" s="29">
        <f t="shared" si="225"/>
        <v>96.764537690361635</v>
      </c>
      <c r="Y167" s="29">
        <f t="shared" si="225"/>
        <v>97.420441762485368</v>
      </c>
    </row>
    <row r="168" spans="10:25" x14ac:dyDescent="0.25">
      <c r="J168" t="s">
        <v>128</v>
      </c>
      <c r="L168" s="29">
        <f>L167-$Y$95</f>
        <v>42.119143519732219</v>
      </c>
      <c r="M168" s="29">
        <f t="shared" ref="M168:Y168" si="326">M167-$Y$95</f>
        <v>42.819621594462149</v>
      </c>
      <c r="N168" s="29">
        <f t="shared" si="326"/>
        <v>43.516104781751551</v>
      </c>
      <c r="O168" s="29">
        <f t="shared" si="326"/>
        <v>44.208647753752771</v>
      </c>
      <c r="P168" s="29">
        <f t="shared" si="326"/>
        <v>44.897304003661333</v>
      </c>
      <c r="Q168" s="29">
        <f t="shared" si="326"/>
        <v>45.582125879208078</v>
      </c>
      <c r="R168" s="29">
        <f t="shared" si="326"/>
        <v>46.263164614926126</v>
      </c>
      <c r="S168" s="29">
        <f t="shared" si="326"/>
        <v>46.940470363245197</v>
      </c>
      <c r="T168" s="29">
        <f t="shared" si="326"/>
        <v>47.614092224464059</v>
      </c>
      <c r="U168" s="29">
        <f t="shared" si="326"/>
        <v>48.284078275649165</v>
      </c>
      <c r="V168" s="29">
        <f t="shared" si="326"/>
        <v>48.950475598504738</v>
      </c>
      <c r="W168" s="29">
        <f t="shared" si="326"/>
        <v>49.613330306257879</v>
      </c>
      <c r="X168" s="29">
        <f t="shared" si="326"/>
        <v>50.272687569599952</v>
      </c>
      <c r="Y168" s="29">
        <f t="shared" si="326"/>
        <v>50.928591641723685</v>
      </c>
    </row>
    <row r="169" spans="10:25" x14ac:dyDescent="0.25">
      <c r="J169" t="s">
        <v>131</v>
      </c>
      <c r="L169" s="29">
        <f t="shared" ref="L169" si="327">L$89/(L168/3600)</f>
        <v>41.934613394321197</v>
      </c>
      <c r="M169" s="29">
        <f t="shared" ref="M169" si="328">M$89/(M168/3600)</f>
        <v>41.248613001015599</v>
      </c>
      <c r="N169" s="29">
        <f t="shared" ref="N169" si="329">N$89/(N168/3600)</f>
        <v>40.588421432898457</v>
      </c>
      <c r="O169" s="29">
        <f t="shared" ref="O169" si="330">O$89/(O168/3600)</f>
        <v>39.952590494016334</v>
      </c>
      <c r="P169" s="29">
        <f t="shared" ref="P169" si="331">P$89/(P168/3600)</f>
        <v>39.33977861690456</v>
      </c>
      <c r="Q169" s="29">
        <f t="shared" ref="Q169" si="332">Q$89/(Q168/3600)</f>
        <v>38.748741221075001</v>
      </c>
      <c r="R169" s="29">
        <f t="shared" ref="R169" si="333">R$89/(R168/3600)</f>
        <v>38.178322099263511</v>
      </c>
      <c r="S169" s="29">
        <f t="shared" ref="S169" si="334">S$89/(S168/3600)</f>
        <v>37.627445705846377</v>
      </c>
      <c r="T169" s="29">
        <f t="shared" ref="T169" si="335">T$89/(T168/3600)</f>
        <v>37.095110239073357</v>
      </c>
      <c r="U169" s="29">
        <f t="shared" ref="U169" si="336">U$89/(U168/3600)</f>
        <v>36.580381423386569</v>
      </c>
      <c r="V169" s="29">
        <f t="shared" ref="V169" si="337">V$89/(V168/3600)</f>
        <v>36.08238691053397</v>
      </c>
      <c r="W169" s="29">
        <f t="shared" ref="W169" si="338">W$89/(W168/3600)</f>
        <v>35.600311228797253</v>
      </c>
      <c r="X169" s="29">
        <f t="shared" ref="X169" si="339">X$89/(X168/3600)</f>
        <v>35.13339121873318</v>
      </c>
      <c r="Y169" s="29">
        <f t="shared" ref="Y169" si="340">Y$89/(Y168/3600)</f>
        <v>34.68091190161411</v>
      </c>
    </row>
    <row r="170" spans="10:25" x14ac:dyDescent="0.25">
      <c r="J170" t="s">
        <v>133</v>
      </c>
      <c r="L170" s="29">
        <f t="shared" ref="L170" si="341">K170+L169</f>
        <v>41.934613394321197</v>
      </c>
      <c r="M170" s="29">
        <f t="shared" ref="M170" si="342">L170+M169</f>
        <v>83.183226395336789</v>
      </c>
      <c r="N170" s="29">
        <f t="shared" ref="N170" si="343">M170+N169</f>
        <v>123.77164782823525</v>
      </c>
      <c r="O170" s="29">
        <f t="shared" ref="O170" si="344">N170+O169</f>
        <v>163.72423832225158</v>
      </c>
      <c r="P170" s="29">
        <f t="shared" ref="P170" si="345">O170+P169</f>
        <v>203.06401693915615</v>
      </c>
      <c r="Q170" s="29">
        <f t="shared" ref="Q170" si="346">P170+Q169</f>
        <v>241.81275816023114</v>
      </c>
      <c r="R170" s="29">
        <f t="shared" ref="R170" si="347">Q170+R169</f>
        <v>279.99108025949465</v>
      </c>
      <c r="S170" s="29">
        <f t="shared" ref="S170" si="348">R170+S169</f>
        <v>317.61852596534101</v>
      </c>
      <c r="T170" s="29">
        <f t="shared" ref="T170" si="349">S170+T169</f>
        <v>354.71363620441434</v>
      </c>
      <c r="U170" s="29">
        <f t="shared" ref="U170" si="350">T170+U169</f>
        <v>391.29401762780094</v>
      </c>
      <c r="V170" s="29">
        <f t="shared" ref="V170" si="351">U170+V169</f>
        <v>427.3764045383349</v>
      </c>
      <c r="W170" s="29">
        <f t="shared" ref="W170" si="352">V170+W169</f>
        <v>462.97671576713213</v>
      </c>
      <c r="X170" s="29">
        <f t="shared" ref="X170" si="353">W170+X169</f>
        <v>498.11010698586529</v>
      </c>
      <c r="Y170" s="29">
        <f t="shared" ref="Y170" si="354">X170+Y169</f>
        <v>532.79101888747937</v>
      </c>
    </row>
    <row r="172" spans="10:25" x14ac:dyDescent="0.25"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</row>
    <row r="173" spans="10:25" x14ac:dyDescent="0.25"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</row>
    <row r="174" spans="10:25" x14ac:dyDescent="0.25"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</row>
    <row r="175" spans="10:25" x14ac:dyDescent="0.25"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</row>
    <row r="177" spans="12:25" x14ac:dyDescent="0.25"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</row>
    <row r="178" spans="12:25" x14ac:dyDescent="0.25"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</row>
    <row r="179" spans="12:25" x14ac:dyDescent="0.25"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</row>
    <row r="180" spans="12:25" x14ac:dyDescent="0.25"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</row>
  </sheetData>
  <mergeCells count="13">
    <mergeCell ref="U54:AD54"/>
    <mergeCell ref="AE54:AN54"/>
    <mergeCell ref="K54:N54"/>
    <mergeCell ref="O54:R54"/>
    <mergeCell ref="K53:S53"/>
    <mergeCell ref="A30:A39"/>
    <mergeCell ref="A40:A48"/>
    <mergeCell ref="I74:I75"/>
    <mergeCell ref="C2:D2"/>
    <mergeCell ref="C3:D3"/>
    <mergeCell ref="C4:D4"/>
    <mergeCell ref="C5:D5"/>
    <mergeCell ref="C6:D6"/>
  </mergeCells>
  <phoneticPr fontId="7" type="noConversion"/>
  <conditionalFormatting sqref="E35">
    <cfRule type="cellIs" dxfId="4" priority="4" operator="greaterThan">
      <formula>$G$30</formula>
    </cfRule>
    <cfRule type="cellIs" dxfId="3" priority="5" operator="lessThan">
      <formula>$E$30</formula>
    </cfRule>
  </conditionalFormatting>
  <conditionalFormatting sqref="E44">
    <cfRule type="cellIs" dxfId="2" priority="2" operator="lessThan">
      <formula>$E$40</formula>
    </cfRule>
    <cfRule type="cellIs" dxfId="1" priority="3" operator="greaterThan">
      <formula>$G$40</formula>
    </cfRule>
  </conditionalFormatting>
  <conditionalFormatting sqref="L100:Y100">
    <cfRule type="cellIs" dxfId="0" priority="1" operator="greaterThan">
      <formula>$G$15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Błoński</dc:creator>
  <cp:lastModifiedBy>Jakub Błoński</cp:lastModifiedBy>
  <cp:lastPrinted>2021-05-13T15:54:04Z</cp:lastPrinted>
  <dcterms:created xsi:type="dcterms:W3CDTF">2021-05-09T08:27:21Z</dcterms:created>
  <dcterms:modified xsi:type="dcterms:W3CDTF">2021-05-25T20:07:13Z</dcterms:modified>
</cp:coreProperties>
</file>